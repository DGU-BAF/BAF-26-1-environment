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최윤서\폐기물\사업장 폐기물 점검 계획\"/>
    </mc:Choice>
  </mc:AlternateContent>
  <xr:revisionPtr revIDLastSave="0" documentId="13_ncr:1_{36955792-F9DE-4BFC-AA45-F99B947FCE6A}" xr6:coauthVersionLast="47" xr6:coauthVersionMax="47" xr10:uidLastSave="{00000000-0000-0000-0000-000000000000}"/>
  <bookViews>
    <workbookView xWindow="28680" yWindow="-120" windowWidth="19440" windowHeight="14880" xr2:uid="{00000000-000D-0000-FFFF-FFFF00000000}"/>
  </bookViews>
  <sheets>
    <sheet name="1-가. 공공소각" sheetId="1" r:id="rId1"/>
    <sheet name="1-나. 공공기타" sheetId="2" r:id="rId2"/>
    <sheet name="1-다. 공공매립" sheetId="3" r:id="rId3"/>
    <sheet name="2-가. 자가중간처분(소각)" sheetId="4" r:id="rId4"/>
    <sheet name="2-나. 자가중간처분(기타)" sheetId="5" r:id="rId5"/>
    <sheet name="2-다. 자가재활용처리시설" sheetId="6" r:id="rId6"/>
    <sheet name="2-라. 자가매립" sheetId="7" r:id="rId7"/>
    <sheet name="3-가. 수집운반(생활, 사업장일반)" sheetId="8" r:id="rId8"/>
    <sheet name="3-나. 수집운반(건설)" sheetId="9" r:id="rId9"/>
    <sheet name="4-가. 중간처분(소각)" sheetId="10" r:id="rId10"/>
    <sheet name="4-나. 중간처분(기타)" sheetId="11" r:id="rId11"/>
    <sheet name="4-다. 중간처리(건설)" sheetId="12" r:id="rId12"/>
    <sheet name="5. 최종처분" sheetId="20" r:id="rId13"/>
    <sheet name="6. 종합처분" sheetId="14" r:id="rId14"/>
    <sheet name="7-가. 폐기물처리(재활용) 신고" sheetId="15" r:id="rId15"/>
    <sheet name="7-나. 폐기물처리(수집운반) 신고" sheetId="16" r:id="rId16"/>
    <sheet name="8-가. 재활용처리(중간)" sheetId="17" r:id="rId17"/>
    <sheet name="8-나. 재활용처리(최종)" sheetId="18" r:id="rId18"/>
    <sheet name="8-다. 재활용처리(종합)" sheetId="19" r:id="rId19"/>
  </sheets>
  <definedNames>
    <definedName name="_xlnm._FilterDatabase" localSheetId="0" hidden="1">'1-가. 공공소각'!$A$6:$AJ$6</definedName>
    <definedName name="_xlnm._FilterDatabase" localSheetId="1" hidden="1">'1-나. 공공기타'!$A$7:$AI$7</definedName>
    <definedName name="_xlnm._FilterDatabase" localSheetId="2" hidden="1">'1-다. 공공매립'!$A$7:$AL$7</definedName>
    <definedName name="_xlnm._FilterDatabase" localSheetId="3" hidden="1">'2-가. 자가중간처분(소각)'!$A$6:$AF$6</definedName>
    <definedName name="_xlnm._FilterDatabase" localSheetId="4" hidden="1">'2-나. 자가중간처분(기타)'!$A$6:$AB$6</definedName>
    <definedName name="_xlnm._FilterDatabase" localSheetId="5" hidden="1">'2-다. 자가재활용처리시설'!$A$5:$W$5</definedName>
    <definedName name="_xlnm._FilterDatabase" localSheetId="6" hidden="1">'2-라. 자가매립'!$A$5:$Y$5</definedName>
    <definedName name="_xlnm._FilterDatabase" localSheetId="7" hidden="1">'3-가. 수집운반(생활, 사업장일반)'!$A$5:$W$5</definedName>
    <definedName name="_xlnm._FilterDatabase" localSheetId="8" hidden="1">'3-나. 수집운반(건설)'!$A$4:$M$4</definedName>
    <definedName name="_xlnm._FilterDatabase" localSheetId="9" hidden="1">'4-가. 중간처분(소각)'!$A$6:$AF$13</definedName>
    <definedName name="_xlnm._FilterDatabase" localSheetId="10" hidden="1">'4-나. 중간처분(기타)'!$A$6:$AB$6</definedName>
    <definedName name="_xlnm._FilterDatabase" localSheetId="11" hidden="1">'4-다. 중간처리(건설)'!$A$5:$AA$5</definedName>
    <definedName name="_xlnm._FilterDatabase" localSheetId="12" hidden="1">'5. 최종처분'!$A$5:$AJ$5</definedName>
    <definedName name="_xlnm._FilterDatabase" localSheetId="13" hidden="1">'6. 종합처분'!$A$5:$AJ$5</definedName>
    <definedName name="_xlnm._FilterDatabase" localSheetId="14" hidden="1">'7-가. 폐기물처리(재활용) 신고'!$A$5:$T$5</definedName>
    <definedName name="_xlnm._FilterDatabase" localSheetId="15" hidden="1">'7-나. 폐기물처리(수집운반) 신고'!$A$5:$M$5</definedName>
    <definedName name="_xlnm._FilterDatabase" localSheetId="16" hidden="1">'8-가. 재활용처리(중간)'!$A$5:$W$122</definedName>
    <definedName name="_xlnm._FilterDatabase" localSheetId="17" hidden="1">'8-나. 재활용처리(최종)'!$A$5:$W$5</definedName>
    <definedName name="_xlnm._FilterDatabase" localSheetId="18" hidden="1">'8-다. 재활용처리(종합)'!$A$5:$W$169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6" i="20" l="1"/>
  <c r="Q6" i="20"/>
  <c r="O169" i="19" l="1"/>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122" i="17"/>
  <c r="O121" i="17"/>
  <c r="O120" i="17"/>
  <c r="O119" i="17"/>
  <c r="O118" i="17"/>
  <c r="O117" i="17"/>
  <c r="O116" i="17"/>
  <c r="O115" i="17"/>
  <c r="O114" i="17"/>
  <c r="O113" i="17"/>
  <c r="O112" i="17"/>
  <c r="O111" i="17"/>
  <c r="O110" i="17"/>
  <c r="O109" i="17"/>
  <c r="O108" i="17"/>
  <c r="O107" i="17"/>
  <c r="O106" i="17"/>
  <c r="O105" i="17"/>
  <c r="O104" i="17"/>
  <c r="O103" i="17"/>
  <c r="O102" i="17"/>
  <c r="O101" i="17"/>
  <c r="O100" i="17"/>
  <c r="O99" i="17"/>
  <c r="O98" i="17"/>
  <c r="O97" i="17"/>
  <c r="O96" i="17"/>
  <c r="O95" i="17"/>
  <c r="O94" i="17"/>
  <c r="O93" i="17"/>
  <c r="O92" i="17"/>
  <c r="O91" i="17"/>
  <c r="O90" i="17"/>
  <c r="O89" i="17"/>
  <c r="O88" i="17"/>
  <c r="O87" i="17"/>
  <c r="O86" i="17"/>
  <c r="O85" i="17"/>
  <c r="O84" i="17"/>
  <c r="O83" i="17"/>
  <c r="O82" i="17"/>
  <c r="O81" i="17"/>
  <c r="O80" i="17"/>
  <c r="O79" i="17"/>
  <c r="O78" i="17"/>
  <c r="O77" i="17"/>
  <c r="O76" i="17"/>
  <c r="O75" i="17"/>
  <c r="O74" i="17"/>
  <c r="O73" i="17"/>
  <c r="O72" i="17"/>
  <c r="O71" i="17"/>
  <c r="O70" i="17"/>
  <c r="O69" i="17"/>
  <c r="O68" i="17"/>
  <c r="O67" i="17"/>
  <c r="O66" i="17"/>
  <c r="O65" i="17"/>
  <c r="O64" i="17"/>
  <c r="O63" i="17"/>
  <c r="O62" i="17"/>
  <c r="O61" i="17"/>
  <c r="O60" i="17"/>
  <c r="O59" i="17"/>
  <c r="O58" i="17"/>
  <c r="O57" i="17"/>
  <c r="O56" i="17"/>
  <c r="O55" i="17"/>
  <c r="O54" i="17"/>
  <c r="O53" i="17"/>
  <c r="O52" i="17"/>
  <c r="O51" i="17"/>
  <c r="O50" i="17"/>
  <c r="O49" i="17"/>
  <c r="O48" i="17"/>
  <c r="O47" i="17"/>
  <c r="O46" i="17"/>
  <c r="O45" i="17"/>
  <c r="O44" i="17"/>
  <c r="O43" i="17"/>
  <c r="O42" i="17"/>
  <c r="O41" i="17"/>
  <c r="O40" i="17"/>
  <c r="O39" i="17"/>
  <c r="O38" i="17"/>
  <c r="O37" i="17"/>
  <c r="O36" i="17"/>
  <c r="O35" i="17"/>
  <c r="O34" i="17"/>
  <c r="O33" i="17"/>
  <c r="O32" i="17"/>
  <c r="O31" i="17"/>
  <c r="O30" i="17"/>
  <c r="O29" i="17"/>
  <c r="O28" i="17"/>
  <c r="O27" i="17"/>
  <c r="O26" i="17"/>
  <c r="O25" i="17"/>
  <c r="O24" i="17"/>
  <c r="O23" i="17"/>
  <c r="O22" i="17"/>
  <c r="O21" i="17"/>
  <c r="O20" i="17"/>
  <c r="O19" i="17"/>
  <c r="O18" i="17"/>
  <c r="O17" i="17"/>
  <c r="O16" i="17"/>
  <c r="O15" i="17"/>
  <c r="O14" i="17"/>
  <c r="O13" i="17"/>
  <c r="O12" i="17"/>
  <c r="O11" i="17"/>
  <c r="O10" i="17"/>
  <c r="O9" i="17"/>
  <c r="O8" i="17"/>
  <c r="O7" i="17"/>
  <c r="O6" i="17"/>
  <c r="L88" i="15"/>
  <c r="L87" i="15"/>
  <c r="L86" i="15"/>
  <c r="L85" i="15"/>
  <c r="L84" i="15"/>
  <c r="L83" i="15"/>
  <c r="L82" i="15"/>
  <c r="L81" i="15"/>
  <c r="L80" i="15"/>
  <c r="L79" i="15"/>
  <c r="L78" i="15"/>
  <c r="L77" i="15"/>
  <c r="L76" i="15"/>
  <c r="L75" i="15"/>
  <c r="L74" i="15"/>
  <c r="L73" i="15"/>
  <c r="L72" i="15"/>
  <c r="L71" i="15"/>
  <c r="L70" i="15"/>
  <c r="L69" i="15"/>
  <c r="L68" i="15"/>
  <c r="L67" i="15"/>
  <c r="L66" i="15"/>
  <c r="L65" i="15"/>
  <c r="L64" i="15"/>
  <c r="L63" i="15"/>
  <c r="L62" i="15"/>
  <c r="L61" i="15"/>
  <c r="L60" i="15"/>
  <c r="L59" i="15"/>
  <c r="L58" i="15"/>
  <c r="L57" i="15"/>
  <c r="L56" i="15"/>
  <c r="L55" i="15"/>
  <c r="L54" i="15"/>
  <c r="L53" i="15"/>
  <c r="L52" i="15"/>
  <c r="L51" i="15"/>
  <c r="L50" i="15"/>
  <c r="L49" i="15"/>
  <c r="L48" i="15"/>
  <c r="L47" i="15"/>
  <c r="L46" i="15"/>
  <c r="L45" i="15"/>
  <c r="L44" i="15"/>
  <c r="L43" i="15"/>
  <c r="L42" i="15"/>
  <c r="L41" i="15"/>
  <c r="L40" i="15"/>
  <c r="L39" i="15"/>
  <c r="L38" i="15"/>
  <c r="L37" i="15"/>
  <c r="L36" i="15"/>
  <c r="L35" i="15"/>
  <c r="L34" i="15"/>
  <c r="L33" i="15"/>
  <c r="L32" i="15"/>
  <c r="L31" i="15"/>
  <c r="L30" i="15"/>
  <c r="L29" i="15"/>
  <c r="L28" i="15"/>
  <c r="L27" i="15"/>
  <c r="L26" i="15"/>
  <c r="L25" i="15"/>
  <c r="L24" i="15"/>
  <c r="L23" i="15"/>
  <c r="L22" i="15"/>
  <c r="L21" i="15"/>
  <c r="L20" i="15"/>
  <c r="L19" i="15"/>
  <c r="L18" i="15"/>
  <c r="L17" i="15"/>
  <c r="L16" i="15"/>
  <c r="L15" i="15"/>
  <c r="L14" i="15"/>
  <c r="L13" i="15"/>
  <c r="L12" i="15"/>
  <c r="L11" i="15"/>
  <c r="L10" i="15"/>
  <c r="L9" i="15"/>
  <c r="L8" i="15"/>
  <c r="L7" i="15"/>
  <c r="L6" i="15"/>
  <c r="AC6" i="14"/>
  <c r="Q6" i="14"/>
  <c r="T23" i="12"/>
  <c r="T22" i="12"/>
  <c r="T21" i="12"/>
  <c r="T20" i="12"/>
  <c r="T19" i="12"/>
  <c r="T18" i="12"/>
  <c r="T17" i="12"/>
  <c r="T16" i="12"/>
  <c r="T15" i="12"/>
  <c r="T14" i="12"/>
  <c r="T13" i="12"/>
  <c r="T12" i="12"/>
  <c r="T11" i="12"/>
  <c r="T10" i="12"/>
  <c r="T9" i="12"/>
  <c r="T8" i="12"/>
  <c r="T7" i="12"/>
  <c r="T6" i="12"/>
  <c r="T9" i="11"/>
  <c r="K9" i="11"/>
  <c r="T8" i="11"/>
  <c r="K8" i="11"/>
  <c r="T7" i="11"/>
  <c r="K7" i="11"/>
  <c r="AC13" i="10"/>
  <c r="Z13" i="10"/>
  <c r="Y13" i="10"/>
  <c r="P13" i="10"/>
  <c r="AC12" i="10"/>
  <c r="Z12" i="10"/>
  <c r="Y12" i="10"/>
  <c r="P12" i="10"/>
  <c r="AC11" i="10"/>
  <c r="Z11" i="10"/>
  <c r="Y11" i="10"/>
  <c r="P11" i="10"/>
  <c r="AC10" i="10"/>
  <c r="Z10" i="10"/>
  <c r="Y10" i="10"/>
  <c r="P10" i="10"/>
  <c r="AC9" i="10"/>
  <c r="Z9" i="10"/>
  <c r="Y9" i="10"/>
  <c r="P9" i="10"/>
  <c r="AC8" i="10"/>
  <c r="Z8" i="10"/>
  <c r="Y8" i="10"/>
  <c r="P8" i="10"/>
  <c r="AC7" i="10"/>
  <c r="Z7" i="10"/>
  <c r="Y7" i="10"/>
  <c r="P7" i="10"/>
  <c r="R9" i="7"/>
  <c r="R8" i="7"/>
  <c r="R7" i="7"/>
  <c r="R6" i="7"/>
  <c r="O8" i="6"/>
  <c r="O7" i="6"/>
  <c r="O6" i="6"/>
  <c r="T12" i="5"/>
  <c r="K12" i="5"/>
  <c r="T11" i="5"/>
  <c r="K11" i="5"/>
  <c r="T10" i="5"/>
  <c r="K10" i="5"/>
  <c r="T9" i="5"/>
  <c r="K9" i="5"/>
  <c r="T8" i="5"/>
  <c r="K8" i="5"/>
  <c r="T7" i="5"/>
  <c r="K7" i="5"/>
  <c r="AC15" i="4"/>
  <c r="Z15" i="4"/>
  <c r="Y15" i="4"/>
  <c r="P15" i="4"/>
  <c r="AC14" i="4"/>
  <c r="Z14" i="4"/>
  <c r="Y14" i="4"/>
  <c r="P14" i="4"/>
  <c r="AC13" i="4"/>
  <c r="Z13" i="4"/>
  <c r="Y13" i="4"/>
  <c r="P13" i="4"/>
  <c r="AC12" i="4"/>
  <c r="Z12" i="4"/>
  <c r="Y12" i="4"/>
  <c r="P12" i="4"/>
  <c r="AC11" i="4"/>
  <c r="Z11" i="4"/>
  <c r="Y11" i="4"/>
  <c r="P11" i="4"/>
  <c r="AC10" i="4"/>
  <c r="Z10" i="4"/>
  <c r="Y10" i="4"/>
  <c r="P10" i="4"/>
  <c r="AC9" i="4"/>
  <c r="Z9" i="4"/>
  <c r="Y9" i="4"/>
  <c r="P9" i="4"/>
  <c r="AC8" i="4"/>
  <c r="Z8" i="4"/>
  <c r="Y8" i="4"/>
  <c r="P8" i="4"/>
  <c r="AC7" i="4"/>
  <c r="Z7" i="4"/>
  <c r="Y7" i="4"/>
  <c r="P7" i="4"/>
  <c r="AF13" i="3"/>
  <c r="U13" i="3"/>
  <c r="Q13" i="3"/>
  <c r="AF12" i="3"/>
  <c r="U12" i="3"/>
  <c r="Q12" i="3"/>
  <c r="AF11" i="3"/>
  <c r="U11" i="3"/>
  <c r="Q11" i="3"/>
  <c r="AF10" i="3"/>
  <c r="U10" i="3"/>
  <c r="Q10" i="3"/>
  <c r="AF9" i="3"/>
  <c r="U9" i="3"/>
  <c r="Q9" i="3"/>
  <c r="AF8" i="3"/>
  <c r="U8" i="3"/>
  <c r="Q8" i="3"/>
  <c r="AC35" i="2"/>
  <c r="S35" i="2"/>
  <c r="N35" i="2"/>
  <c r="AC34" i="2"/>
  <c r="S34" i="2"/>
  <c r="N34" i="2"/>
  <c r="AC33" i="2"/>
  <c r="S33" i="2"/>
  <c r="N33" i="2"/>
  <c r="AC32" i="2"/>
  <c r="S32" i="2"/>
  <c r="N32" i="2"/>
  <c r="AC31" i="2"/>
  <c r="S31" i="2"/>
  <c r="N31" i="2"/>
  <c r="AC30" i="2"/>
  <c r="S30" i="2"/>
  <c r="N30" i="2"/>
  <c r="AC29" i="2"/>
  <c r="S29" i="2"/>
  <c r="N29" i="2"/>
  <c r="AC28" i="2"/>
  <c r="S28" i="2"/>
  <c r="N28" i="2"/>
  <c r="AC27" i="2"/>
  <c r="S27" i="2"/>
  <c r="N27" i="2"/>
  <c r="AC26" i="2"/>
  <c r="S26" i="2"/>
  <c r="N26" i="2"/>
  <c r="AC25" i="2"/>
  <c r="S25" i="2"/>
  <c r="N25" i="2"/>
  <c r="AC24" i="2"/>
  <c r="S24" i="2"/>
  <c r="N24" i="2"/>
  <c r="AC23" i="2"/>
  <c r="S23" i="2"/>
  <c r="N23" i="2"/>
  <c r="AC22" i="2"/>
  <c r="S22" i="2"/>
  <c r="N22" i="2"/>
  <c r="AC21" i="2"/>
  <c r="S21" i="2"/>
  <c r="N21" i="2"/>
  <c r="AC20" i="2"/>
  <c r="S20" i="2"/>
  <c r="N20" i="2"/>
  <c r="AC19" i="2"/>
  <c r="S19" i="2"/>
  <c r="N19" i="2"/>
  <c r="AC18" i="2"/>
  <c r="S18" i="2"/>
  <c r="N18" i="2"/>
  <c r="AC17" i="2"/>
  <c r="S17" i="2"/>
  <c r="N17" i="2"/>
  <c r="AC16" i="2"/>
  <c r="S16" i="2"/>
  <c r="N16" i="2"/>
  <c r="AC15" i="2"/>
  <c r="S15" i="2"/>
  <c r="N15" i="2"/>
  <c r="AC14" i="2"/>
  <c r="S14" i="2"/>
  <c r="N14" i="2"/>
  <c r="AC13" i="2"/>
  <c r="S13" i="2"/>
  <c r="N13" i="2"/>
  <c r="AC12" i="2"/>
  <c r="S12" i="2"/>
  <c r="N12" i="2"/>
  <c r="AC11" i="2"/>
  <c r="S11" i="2"/>
  <c r="N11" i="2"/>
  <c r="AC10" i="2"/>
  <c r="S10" i="2"/>
  <c r="N10" i="2"/>
  <c r="AC9" i="2"/>
  <c r="S9" i="2"/>
  <c r="N9" i="2"/>
  <c r="AC8" i="2"/>
  <c r="S8" i="2"/>
  <c r="N8" i="2"/>
  <c r="AG17" i="1"/>
  <c r="AD17" i="1"/>
  <c r="AC17" i="1"/>
  <c r="T17" i="1"/>
  <c r="O17" i="1"/>
  <c r="AG16" i="1"/>
  <c r="AD16" i="1"/>
  <c r="AC16" i="1"/>
  <c r="T16" i="1"/>
  <c r="O16" i="1"/>
  <c r="AG15" i="1"/>
  <c r="AD15" i="1"/>
  <c r="AC15" i="1"/>
  <c r="T15" i="1"/>
  <c r="O15" i="1"/>
  <c r="AG14" i="1"/>
  <c r="AD14" i="1"/>
  <c r="AC14" i="1"/>
  <c r="T14" i="1"/>
  <c r="O14" i="1"/>
  <c r="AG13" i="1"/>
  <c r="AD13" i="1"/>
  <c r="AC13" i="1"/>
  <c r="T13" i="1"/>
  <c r="O13" i="1"/>
  <c r="AG12" i="1"/>
  <c r="AD12" i="1"/>
  <c r="AC12" i="1"/>
  <c r="T12" i="1"/>
  <c r="O12" i="1"/>
  <c r="AG11" i="1"/>
  <c r="AD11" i="1"/>
  <c r="AC11" i="1"/>
  <c r="T11" i="1"/>
  <c r="O11" i="1"/>
  <c r="AG10" i="1"/>
  <c r="AD10" i="1"/>
  <c r="AC10" i="1"/>
  <c r="T10" i="1"/>
  <c r="O10" i="1"/>
  <c r="AG9" i="1"/>
  <c r="AD9" i="1"/>
  <c r="AC9" i="1"/>
  <c r="T9" i="1"/>
  <c r="O9" i="1"/>
  <c r="AG8" i="1"/>
  <c r="AD8" i="1"/>
  <c r="AC8" i="1"/>
  <c r="T8" i="1"/>
  <c r="O8" i="1"/>
  <c r="AG7" i="1"/>
  <c r="AD7" i="1"/>
  <c r="AC7" i="1"/>
  <c r="T7" i="1"/>
  <c r="O7" i="1"/>
</calcChain>
</file>

<file path=xl/sharedStrings.xml><?xml version="1.0" encoding="utf-8"?>
<sst xmlns="http://schemas.openxmlformats.org/spreadsheetml/2006/main" count="15173" uniqueCount="5944">
  <si>
    <t>1. 폐기물 공공처리시설 현황</t>
  </si>
  <si>
    <t>가. 공공소각시설 현황</t>
  </si>
  <si>
    <t/>
  </si>
  <si>
    <t>연번</t>
  </si>
  <si>
    <t>시도</t>
  </si>
  <si>
    <t>시군구</t>
  </si>
  <si>
    <t>시설명</t>
  </si>
  <si>
    <t>소재지</t>
  </si>
  <si>
    <t>처분대상 폐기물</t>
  </si>
  <si>
    <t>시설용량</t>
  </si>
  <si>
    <t>1일평균
가동시간</t>
  </si>
  <si>
    <t>소각방식</t>
  </si>
  <si>
    <t>운영방식</t>
  </si>
  <si>
    <t>2024년 처리량</t>
  </si>
  <si>
    <t>잔재물 발생 및 처리현황(톤/년)</t>
  </si>
  <si>
    <t>설치비(백만원)</t>
  </si>
  <si>
    <t>연간
유지관리비
(백만원)</t>
  </si>
  <si>
    <t>관리인원
(명)</t>
  </si>
  <si>
    <t>허가(승인)일
(년.월.일)</t>
  </si>
  <si>
    <t>반납
신고일
(년.월.일)</t>
  </si>
  <si>
    <t>에너지발생량
(Gcal)</t>
  </si>
  <si>
    <t>에너지 이용실태</t>
  </si>
  <si>
    <t>비고</t>
  </si>
  <si>
    <t>총계
(Gcal)</t>
  </si>
  <si>
    <t>외부 공급(Gcal)</t>
  </si>
  <si>
    <t>자체 사용(Gcal)</t>
  </si>
  <si>
    <t>생활</t>
  </si>
  <si>
    <t>사업장비(非)배출시설계
(사업장생활계)</t>
  </si>
  <si>
    <t>사업장배출시설계</t>
  </si>
  <si>
    <t>건설</t>
  </si>
  <si>
    <t>(톤/일)</t>
  </si>
  <si>
    <t>(시간)</t>
  </si>
  <si>
    <t>(톤/년)</t>
  </si>
  <si>
    <t>계</t>
  </si>
  <si>
    <t>재활용</t>
  </si>
  <si>
    <t>소각</t>
  </si>
  <si>
    <t>매립</t>
  </si>
  <si>
    <t>기타</t>
  </si>
  <si>
    <t>국비</t>
  </si>
  <si>
    <t>지방비</t>
  </si>
  <si>
    <t>소계</t>
  </si>
  <si>
    <t>열공급</t>
  </si>
  <si>
    <t>전력공급</t>
  </si>
  <si>
    <t>열사용</t>
  </si>
  <si>
    <t>전력사용</t>
  </si>
  <si>
    <t>5개소</t>
  </si>
  <si>
    <t>1</t>
  </si>
  <si>
    <t>일반소각</t>
  </si>
  <si>
    <t>연속식</t>
  </si>
  <si>
    <t>2</t>
  </si>
  <si>
    <t>3</t>
  </si>
  <si>
    <t>4</t>
  </si>
  <si>
    <t>5</t>
  </si>
  <si>
    <t>2개소</t>
  </si>
  <si>
    <t>10개소</t>
  </si>
  <si>
    <t>인천</t>
  </si>
  <si>
    <t>연수구</t>
  </si>
  <si>
    <t>송도자원환경센터</t>
  </si>
  <si>
    <t>인천광역시 연수구 인천신항대로892번길 50, 송도자원환경센터</t>
  </si>
  <si>
    <t>2006.07.01</t>
  </si>
  <si>
    <t>서구</t>
  </si>
  <si>
    <t>청라자원환경센터</t>
  </si>
  <si>
    <t>경서동 673-6</t>
  </si>
  <si>
    <t>생활폐기물</t>
  </si>
  <si>
    <t>2001.12.31</t>
  </si>
  <si>
    <t>강화군</t>
  </si>
  <si>
    <t>강화군 소각장</t>
  </si>
  <si>
    <t>강화읍 해안북로 100</t>
  </si>
  <si>
    <t>옹진군</t>
  </si>
  <si>
    <t>대청 소각시설</t>
  </si>
  <si>
    <t>대청면 대청리 산16-26</t>
  </si>
  <si>
    <t>플라스틱류, 종이류, 나무류, 음식물, 섬유류, 고무피혁류</t>
  </si>
  <si>
    <t>회분식</t>
  </si>
  <si>
    <t>2009.07.15</t>
  </si>
  <si>
    <t>소청 소각시설</t>
  </si>
  <si>
    <t>대청면 소청리 92</t>
  </si>
  <si>
    <t>2009.07.06</t>
  </si>
  <si>
    <t>6</t>
  </si>
  <si>
    <t>덕적 소각시설</t>
  </si>
  <si>
    <t>덕적면 서포리 산31</t>
  </si>
  <si>
    <t>가동안함이유모름</t>
  </si>
  <si>
    <t>2004.12.28</t>
  </si>
  <si>
    <t>7</t>
  </si>
  <si>
    <t>백령 소각시설</t>
  </si>
  <si>
    <t>백령면 진촌리 2376</t>
  </si>
  <si>
    <t>폐플라스틱류, 폐종이류, 폐목재류, 폐음식물류, 폐고무피혁류</t>
  </si>
  <si>
    <t>2008.07.07</t>
  </si>
  <si>
    <t>8</t>
  </si>
  <si>
    <t>소연평 소각시설</t>
  </si>
  <si>
    <t>연평면 소연평리 931-4</t>
  </si>
  <si>
    <t>폐어망, 비닐플라스틱류, 종이류, 목재류, 음식물, 섬유류</t>
  </si>
  <si>
    <t>2006.09.05</t>
  </si>
  <si>
    <t>9</t>
  </si>
  <si>
    <t>연평 소각시설</t>
  </si>
  <si>
    <t>연평면 연평리 산505-1</t>
  </si>
  <si>
    <t>폐지, 폐섬유, 폐합성수지, 음식물쓰레기, 폐목재, 기타</t>
  </si>
  <si>
    <t>10</t>
  </si>
  <si>
    <t>승봉 소각시설</t>
  </si>
  <si>
    <t>자월면 승봉리 771-3</t>
  </si>
  <si>
    <t>가동중지-다이옥신</t>
  </si>
  <si>
    <t>2020.02.04</t>
  </si>
  <si>
    <t>열분해시설(가스화포함)</t>
  </si>
  <si>
    <t>11</t>
  </si>
  <si>
    <t>2010.03.05</t>
  </si>
  <si>
    <t>12</t>
  </si>
  <si>
    <t>13</t>
  </si>
  <si>
    <t>14</t>
  </si>
  <si>
    <t>15</t>
  </si>
  <si>
    <t>16</t>
  </si>
  <si>
    <t>17</t>
  </si>
  <si>
    <t>18</t>
  </si>
  <si>
    <t>19</t>
  </si>
  <si>
    <t>20</t>
  </si>
  <si>
    <t>21</t>
  </si>
  <si>
    <t>22</t>
  </si>
  <si>
    <t>23</t>
  </si>
  <si>
    <t>24</t>
  </si>
  <si>
    <t>25</t>
  </si>
  <si>
    <t>26</t>
  </si>
  <si>
    <t>27</t>
  </si>
  <si>
    <t>28</t>
  </si>
  <si>
    <t>사업장비배출시설계</t>
  </si>
  <si>
    <t>1999.12.07</t>
  </si>
  <si>
    <t>29</t>
  </si>
  <si>
    <t>사업장비(非)배출시설계</t>
  </si>
  <si>
    <t>2005.12.30</t>
  </si>
  <si>
    <t>2004.02.05</t>
  </si>
  <si>
    <t>2019.04.16</t>
  </si>
  <si>
    <t>2008.04.01</t>
  </si>
  <si>
    <t>2000.12.30</t>
  </si>
  <si>
    <t>2004.06.15</t>
  </si>
  <si>
    <t>추가</t>
  </si>
  <si>
    <t>2013.08.21</t>
  </si>
  <si>
    <t>2018.04.12</t>
  </si>
  <si>
    <t>2006.06.16</t>
  </si>
  <si>
    <t>30</t>
  </si>
  <si>
    <t>31</t>
  </si>
  <si>
    <t>32</t>
  </si>
  <si>
    <t>33</t>
  </si>
  <si>
    <t>34</t>
  </si>
  <si>
    <t>35</t>
  </si>
  <si>
    <t>36</t>
  </si>
  <si>
    <t>37</t>
  </si>
  <si>
    <t>38</t>
  </si>
  <si>
    <t>39</t>
  </si>
  <si>
    <t>40</t>
  </si>
  <si>
    <t>41</t>
  </si>
  <si>
    <t>42</t>
  </si>
  <si>
    <t>43</t>
  </si>
  <si>
    <t>44</t>
  </si>
  <si>
    <t>45</t>
  </si>
  <si>
    <t>46</t>
  </si>
  <si>
    <t>47</t>
  </si>
  <si>
    <t>48</t>
  </si>
  <si>
    <t>2014.05.16</t>
  </si>
  <si>
    <t>49</t>
  </si>
  <si>
    <t>17개소</t>
  </si>
  <si>
    <t>사업장생활계</t>
  </si>
  <si>
    <t>2008.04.25</t>
  </si>
  <si>
    <t>2020.04.14</t>
  </si>
  <si>
    <t>2012.11.12</t>
  </si>
  <si>
    <t>2012.05.01</t>
  </si>
  <si>
    <t>나. 공공기타(소각, 매립 제외)시설 현황</t>
  </si>
  <si>
    <t>시설구분</t>
  </si>
  <si>
    <t>처리대상 폐기물</t>
  </si>
  <si>
    <t>설치비 (백만원)</t>
  </si>
  <si>
    <t>연간유지
관리비
(백만원)</t>
  </si>
  <si>
    <t>발생
가스
재이용
여부 
(O,X)</t>
  </si>
  <si>
    <t>발생가스 이용현황</t>
  </si>
  <si>
    <t>발생가스 포집량</t>
  </si>
  <si>
    <t>메탄가스 (CH4) 활용량</t>
  </si>
  <si>
    <t>발생가스
총포집량
(N㎥/년)</t>
  </si>
  <si>
    <t>발생가스 총
포집량 중
메탄가스량
(N㎥/년)</t>
  </si>
  <si>
    <t>에너지생산</t>
  </si>
  <si>
    <t>에너지생산 외</t>
  </si>
  <si>
    <t>총활용량
(N㎥/년)</t>
  </si>
  <si>
    <t>발전
(N㎥/년)</t>
  </si>
  <si>
    <t>냉난방
(N㎥/년)</t>
  </si>
  <si>
    <t>가스공급
(N㎥/년)</t>
  </si>
  <si>
    <t>기타
(N㎥/년)</t>
  </si>
  <si>
    <t>(N㎥/년)</t>
  </si>
  <si>
    <t>25개소</t>
  </si>
  <si>
    <t>중구</t>
  </si>
  <si>
    <t>선별시설(적환, 압축, 파쇄, 감용시설 등)</t>
  </si>
  <si>
    <t>1999.05.15</t>
  </si>
  <si>
    <t>X</t>
  </si>
  <si>
    <t>2018.09.21</t>
  </si>
  <si>
    <t>음식물자원화시설(혐기성소화)</t>
  </si>
  <si>
    <t>O</t>
  </si>
  <si>
    <t>자원순환센터</t>
  </si>
  <si>
    <t>음식물자원화시설(사료화)</t>
  </si>
  <si>
    <t>2023.06.07</t>
  </si>
  <si>
    <t>2009.11.18</t>
  </si>
  <si>
    <t>동구</t>
  </si>
  <si>
    <t>2024.06.20</t>
  </si>
  <si>
    <t>선별시설</t>
  </si>
  <si>
    <t>음식물류</t>
  </si>
  <si>
    <t>재활용품</t>
  </si>
  <si>
    <t>연료화시설</t>
  </si>
  <si>
    <t>2013.10.07</t>
  </si>
  <si>
    <t>2014.02.14</t>
  </si>
  <si>
    <t>인천 남부권광역 생활자원회수센터</t>
  </si>
  <si>
    <t>인천광역시 연수구 인천신항대로 1180, 인천 남부권광역 생활자원회수센터</t>
  </si>
  <si>
    <t>2015.11.16</t>
  </si>
  <si>
    <t>송도자원순환센터(SRF)</t>
  </si>
  <si>
    <t>인천광역시 연수구 인천신항대로892번길 50, 송도자원순환센터</t>
  </si>
  <si>
    <t>2016.06.29</t>
  </si>
  <si>
    <t>음식물류폐기물 자원화시설</t>
  </si>
  <si>
    <t>인천광역시 연수구 인천신항대로892번길 50, 음식물류폐기물 자원화시설</t>
  </si>
  <si>
    <t>생활(음식물류)</t>
  </si>
  <si>
    <t>2005.01.20</t>
  </si>
  <si>
    <t>남동구</t>
  </si>
  <si>
    <t>남동구 음식물류폐기물 공공처리시설</t>
  </si>
  <si>
    <t>인천광역시 남동구 앵고개로 488</t>
  </si>
  <si>
    <t>2012.12.07</t>
  </si>
  <si>
    <t>계양구</t>
  </si>
  <si>
    <t>대형폐기물 적환장</t>
  </si>
  <si>
    <t>서운동 147-13</t>
  </si>
  <si>
    <t>2015.10.22</t>
  </si>
  <si>
    <t>수도권 광역 음폐수 바이오가스화시설</t>
  </si>
  <si>
    <t>거월로 61</t>
  </si>
  <si>
    <t>2011.04.19</t>
  </si>
  <si>
    <t>청라음식물자원화시설</t>
  </si>
  <si>
    <t>2004.02.06</t>
  </si>
  <si>
    <t>대청 재활용선별장</t>
  </si>
  <si>
    <t>2009.07.27</t>
  </si>
  <si>
    <t>대청 음식물류폐기물 처리시설</t>
  </si>
  <si>
    <t>2017.09.21</t>
  </si>
  <si>
    <t>소청 재활용선별장</t>
  </si>
  <si>
    <t>대청면 소청리 58</t>
  </si>
  <si>
    <t>덕적 재활용선별장</t>
  </si>
  <si>
    <t>덕적면 덕적남로 771번길 103</t>
  </si>
  <si>
    <t>2007.04.24</t>
  </si>
  <si>
    <t>문갑 재활용선별장</t>
  </si>
  <si>
    <t>덕적면 문갑리 74-18</t>
  </si>
  <si>
    <t>2009.06.28</t>
  </si>
  <si>
    <t>백아 재활용선별장</t>
  </si>
  <si>
    <t>덕적면 백아리 149-6</t>
  </si>
  <si>
    <t>울도 재활용선별장</t>
  </si>
  <si>
    <t>덕적면 울도리 산42-1</t>
  </si>
  <si>
    <t>백령 재활용선별장(A동)</t>
  </si>
  <si>
    <t>백령면 백령남로 72번길 356</t>
  </si>
  <si>
    <t>2008.10.10</t>
  </si>
  <si>
    <t>백령 재활용선별장(B동)</t>
  </si>
  <si>
    <t>2013.09.16</t>
  </si>
  <si>
    <t>백령 음식물류폐기물 처리시설</t>
  </si>
  <si>
    <t>2017.08.31</t>
  </si>
  <si>
    <t>시도리 재활용선별장</t>
  </si>
  <si>
    <t>북도면 시도로 86번길 78</t>
  </si>
  <si>
    <t>장봉리 재활용선별장</t>
  </si>
  <si>
    <t>북도면 장봉리 546-2</t>
  </si>
  <si>
    <t>2008.11.15</t>
  </si>
  <si>
    <t>소연평 재활용선별장</t>
  </si>
  <si>
    <t>연평면 소연평로 161-94</t>
  </si>
  <si>
    <t>2006.11.21</t>
  </si>
  <si>
    <t>대연평 재활용선별장</t>
  </si>
  <si>
    <t>연평면 연평로 746-46</t>
  </si>
  <si>
    <t>연평 음식물류폐기물 처리시설</t>
  </si>
  <si>
    <t>연평면 연평리 505-1</t>
  </si>
  <si>
    <t>영흥 재활용선별장</t>
  </si>
  <si>
    <t>영흥면 영흥남로 110번길 116</t>
  </si>
  <si>
    <t>2009.01.20</t>
  </si>
  <si>
    <t>대이작 재활용선별장</t>
  </si>
  <si>
    <t>자월면 대이작로 159번길 127</t>
  </si>
  <si>
    <t>2012.11.06</t>
  </si>
  <si>
    <t>승봉 재활용선별장</t>
  </si>
  <si>
    <t>2013.03.28</t>
  </si>
  <si>
    <t>소이작 재활용선별장</t>
  </si>
  <si>
    <t>자월면 이작리 산147</t>
  </si>
  <si>
    <t>2009.01.12</t>
  </si>
  <si>
    <t>자월 재활용선별장</t>
  </si>
  <si>
    <t>자월면 자월서로 78</t>
  </si>
  <si>
    <t>6개소</t>
  </si>
  <si>
    <t>2009.11.24</t>
  </si>
  <si>
    <t>음식물류폐기물</t>
  </si>
  <si>
    <t>사업장생활계폐기물</t>
  </si>
  <si>
    <t>3개소</t>
  </si>
  <si>
    <t>2014.01.28</t>
  </si>
  <si>
    <t>2014.07.01</t>
  </si>
  <si>
    <t>폐합성수지류</t>
  </si>
  <si>
    <t>2015.03.31</t>
  </si>
  <si>
    <t>2015.12.21</t>
  </si>
  <si>
    <t>2021.11.05</t>
  </si>
  <si>
    <t>2012.05.14</t>
  </si>
  <si>
    <t>2020.04.02</t>
  </si>
  <si>
    <t>2014.12.31</t>
  </si>
  <si>
    <t>2017.09.28</t>
  </si>
  <si>
    <t>2016.11.23</t>
  </si>
  <si>
    <t>2019.04.22</t>
  </si>
  <si>
    <t>2023.01.16</t>
  </si>
  <si>
    <t>2014.05.09</t>
  </si>
  <si>
    <t>2017.04.13</t>
  </si>
  <si>
    <t>2013.12.13</t>
  </si>
  <si>
    <t>2022.07.19</t>
  </si>
  <si>
    <t>2013.03.15</t>
  </si>
  <si>
    <t>1997.08.06</t>
  </si>
  <si>
    <t>2014.01.15</t>
  </si>
  <si>
    <t>-</t>
  </si>
  <si>
    <t>파쇄시설</t>
  </si>
  <si>
    <t>감용시설</t>
  </si>
  <si>
    <t>2023.06.29</t>
  </si>
  <si>
    <t>2018.01.10</t>
  </si>
  <si>
    <t>2017.07.04</t>
  </si>
  <si>
    <t>음식물</t>
  </si>
  <si>
    <t>2020.06.30</t>
  </si>
  <si>
    <t>2000.12.19</t>
  </si>
  <si>
    <t>2003.03.31</t>
  </si>
  <si>
    <t>2014.11.18</t>
  </si>
  <si>
    <t>8개소</t>
  </si>
  <si>
    <t>2022.02.23</t>
  </si>
  <si>
    <t>2024.05.30</t>
  </si>
  <si>
    <t>다. 공공매립시설 현황</t>
  </si>
  <si>
    <t>공구</t>
  </si>
  <si>
    <t>매립지 종류</t>
  </si>
  <si>
    <t>승인·허가내용</t>
  </si>
  <si>
    <t>사용개시신고내용</t>
  </si>
  <si>
    <t>기매립량
(2024년까지
전체 누적)</t>
  </si>
  <si>
    <t>잔여매립
가능량</t>
  </si>
  <si>
    <t>2024년 매립량
(생활/사업장폐기물)</t>
  </si>
  <si>
    <t>사용가능기간</t>
  </si>
  <si>
    <t>매립지관리
인원(명)</t>
  </si>
  <si>
    <t>매립후
이용계획</t>
  </si>
  <si>
    <t>발생가스 에너지 이용 실태</t>
  </si>
  <si>
    <t>발생가스(LFG) 포집량</t>
  </si>
  <si>
    <t>면적(㎡)</t>
  </si>
  <si>
    <t>용량(㎥)</t>
  </si>
  <si>
    <t>(㎥)</t>
  </si>
  <si>
    <t>(㎥/년)</t>
  </si>
  <si>
    <t>(년-년)</t>
  </si>
  <si>
    <t>관리형</t>
  </si>
  <si>
    <t>54</t>
  </si>
  <si>
    <t>수도권매립지</t>
  </si>
  <si>
    <t>백석동 58</t>
  </si>
  <si>
    <t>반입
(가정계 등)</t>
  </si>
  <si>
    <t>반입
(자가 등)</t>
  </si>
  <si>
    <t>반입
(중간처리잔재폐기물 등)</t>
  </si>
  <si>
    <t>반입 불가</t>
  </si>
  <si>
    <t>1992-종료시</t>
  </si>
  <si>
    <t>1989.12.29</t>
  </si>
  <si>
    <t>대청 매립시설</t>
  </si>
  <si>
    <t>대청면 산16-26</t>
  </si>
  <si>
    <t>공구로 관리안함</t>
  </si>
  <si>
    <t>생활폐기물(소각재, 폐토사, 불연성)</t>
  </si>
  <si>
    <t>해당없음</t>
  </si>
  <si>
    <t>2010-2040</t>
  </si>
  <si>
    <t>2008.11.28</t>
  </si>
  <si>
    <t>덕적 매립시설</t>
  </si>
  <si>
    <t>덕적면 서포리 산31번지</t>
  </si>
  <si>
    <t>2003-2030</t>
  </si>
  <si>
    <t>2002.02.21</t>
  </si>
  <si>
    <t>백령 매립시설</t>
  </si>
  <si>
    <t>백령면 진촌리 2376 외 1</t>
  </si>
  <si>
    <t>2008-2050</t>
  </si>
  <si>
    <t>2008.05.29</t>
  </si>
  <si>
    <t>소연평 매립시설</t>
  </si>
  <si>
    <t>연평면 연평리 931-4</t>
  </si>
  <si>
    <t>생활폐기물, 소각재</t>
  </si>
  <si>
    <t>2007-2034</t>
  </si>
  <si>
    <t>55</t>
  </si>
  <si>
    <t>59</t>
  </si>
  <si>
    <t>90</t>
  </si>
  <si>
    <t>2003-2028</t>
  </si>
  <si>
    <t>50</t>
  </si>
  <si>
    <t>2024.09.30</t>
  </si>
  <si>
    <t>70</t>
  </si>
  <si>
    <t>93</t>
  </si>
  <si>
    <t>0</t>
  </si>
  <si>
    <t>2018.11.29</t>
  </si>
  <si>
    <t>216</t>
  </si>
  <si>
    <t>2004.08.13</t>
  </si>
  <si>
    <t>51</t>
  </si>
  <si>
    <t>52</t>
  </si>
  <si>
    <t>53</t>
  </si>
  <si>
    <t>56</t>
  </si>
  <si>
    <t>57</t>
  </si>
  <si>
    <t>58</t>
  </si>
  <si>
    <t>60</t>
  </si>
  <si>
    <t>158</t>
  </si>
  <si>
    <t>129</t>
  </si>
  <si>
    <t>사업장배출시설계폐기물</t>
  </si>
  <si>
    <t>2. 폐기물 자가처리시설 현황</t>
  </si>
  <si>
    <t>가. 자가소각시설 현황</t>
  </si>
  <si>
    <t>업체명</t>
  </si>
  <si>
    <t>대표자</t>
  </si>
  <si>
    <t>전화번호</t>
  </si>
  <si>
    <t>총계(Gcal)</t>
  </si>
  <si>
    <t>㈜메라톤</t>
  </si>
  <si>
    <t>성지용</t>
  </si>
  <si>
    <t>남동대로79번길 54(고잔동)</t>
  </si>
  <si>
    <t>폐목재, 폐지 등</t>
  </si>
  <si>
    <t>폐목재</t>
  </si>
  <si>
    <t>032-811-8620</t>
  </si>
  <si>
    <t>1995.11.13</t>
  </si>
  <si>
    <t>㈜에몬스가구</t>
  </si>
  <si>
    <t>김경수</t>
  </si>
  <si>
    <t>논현고잔로 47(고잔동)</t>
  </si>
  <si>
    <t>032-816-2233</t>
  </si>
  <si>
    <t>1997.04.04</t>
  </si>
  <si>
    <t>장인가구㈜</t>
  </si>
  <si>
    <t>조재민</t>
  </si>
  <si>
    <t>호구포로44번길 23-30(고잔동)</t>
  </si>
  <si>
    <t>032-812-9900</t>
  </si>
  <si>
    <t>1995.02.06</t>
  </si>
  <si>
    <t>부평구</t>
  </si>
  <si>
    <t>동서식품㈜</t>
  </si>
  <si>
    <t>대표이사</t>
  </si>
  <si>
    <t>인천광역시 부평구 새벌로 55 (청천동)</t>
  </si>
  <si>
    <t>그 밖의 식물성잔재물</t>
  </si>
  <si>
    <t>032-500-3286</t>
  </si>
  <si>
    <t>2008.02.05</t>
  </si>
  <si>
    <t>㈜월드오에이</t>
  </si>
  <si>
    <t>이성범</t>
  </si>
  <si>
    <t>건지로121번길 17(석남동)</t>
  </si>
  <si>
    <t>폐지,폐목재,폐수지</t>
  </si>
  <si>
    <t>032-577-8008</t>
  </si>
  <si>
    <t>1999.12.14</t>
  </si>
  <si>
    <t>㈜신안합성</t>
  </si>
  <si>
    <t>신장식</t>
  </si>
  <si>
    <t>단봉로62번안길 11(오류동)</t>
  </si>
  <si>
    <t>폐지류</t>
  </si>
  <si>
    <t>032-562-6011</t>
  </si>
  <si>
    <t>2003.10.08</t>
  </si>
  <si>
    <t>2024.05.14</t>
  </si>
  <si>
    <t>동원로엑스인천㈜</t>
  </si>
  <si>
    <t>이동정</t>
  </si>
  <si>
    <t>북항로309번길 84(원창동)</t>
  </si>
  <si>
    <t>폐종이류, 폐목재류, 폐합성수지류</t>
  </si>
  <si>
    <t>032-570-6776</t>
  </si>
  <si>
    <t>2008.02.04</t>
  </si>
  <si>
    <t>동화기업㈜</t>
  </si>
  <si>
    <t>염곡로 133(가좌동 173-144)</t>
  </si>
  <si>
    <t>폐목재류</t>
  </si>
  <si>
    <t>032-585-0612</t>
  </si>
  <si>
    <t>2018.08.27</t>
  </si>
  <si>
    <t>2025.04.18</t>
  </si>
  <si>
    <t>2017.05.22</t>
  </si>
  <si>
    <t>2012.08.01</t>
  </si>
  <si>
    <t>폐합성수지류 등</t>
  </si>
  <si>
    <t>신익철</t>
  </si>
  <si>
    <t>채광병</t>
  </si>
  <si>
    <t>2018.01.25</t>
  </si>
  <si>
    <t>2016.11.18</t>
  </si>
  <si>
    <t>(주)신흥</t>
  </si>
  <si>
    <t>2022.06.13</t>
  </si>
  <si>
    <t>나. 자가기타시설(소각 제외) 현황</t>
  </si>
  <si>
    <t>자가중간처분(소각 제외)시설 처리능력(톤/일)</t>
  </si>
  <si>
    <t>기계적</t>
  </si>
  <si>
    <t>화학적</t>
  </si>
  <si>
    <t>생물학적</t>
  </si>
  <si>
    <t>기타
(고시된 시설)</t>
  </si>
  <si>
    <t>증발
농축</t>
  </si>
  <si>
    <t>파쇄 등
기타</t>
  </si>
  <si>
    <t>반응
응집
침전</t>
  </si>
  <si>
    <t>고형화
안정화</t>
  </si>
  <si>
    <t>소멸화</t>
  </si>
  <si>
    <t>호기성
혐기성
분해</t>
  </si>
  <si>
    <t>(주)영화수출포장</t>
  </si>
  <si>
    <t>고잔동 699-5(남동공단 126B-6L)</t>
  </si>
  <si>
    <t>폐종이</t>
  </si>
  <si>
    <t>032-811-7711</t>
  </si>
  <si>
    <t>2019.01.10</t>
  </si>
  <si>
    <t>광신포장(주)</t>
  </si>
  <si>
    <t>김일영</t>
  </si>
  <si>
    <t>남동대로 431</t>
  </si>
  <si>
    <t>032-816-4981</t>
  </si>
  <si>
    <t>2007.07.24</t>
  </si>
  <si>
    <t>2020.11.20</t>
  </si>
  <si>
    <t>한국지엠㈜</t>
  </si>
  <si>
    <t>인천광역시 부평구 청천동 199-1</t>
  </si>
  <si>
    <t>폐수처리오니, 폐금속류</t>
  </si>
  <si>
    <t>032-520-3726</t>
  </si>
  <si>
    <t>2005.11.11</t>
  </si>
  <si>
    <t>㈜이마트 검단점</t>
  </si>
  <si>
    <t>당하동 1065-1</t>
  </si>
  <si>
    <t>폐지, 폐스티로폼</t>
  </si>
  <si>
    <t>032-440-1053</t>
  </si>
  <si>
    <t>2016.11.15</t>
  </si>
  <si>
    <t>임목폐목재</t>
  </si>
  <si>
    <t>2024.09.27</t>
  </si>
  <si>
    <t>2023.05.04</t>
  </si>
  <si>
    <t>폐지</t>
  </si>
  <si>
    <t>폐종이류</t>
  </si>
  <si>
    <t>2022.03.16</t>
  </si>
  <si>
    <t>고철</t>
  </si>
  <si>
    <t>2019.01.22</t>
  </si>
  <si>
    <t>2021.08.27</t>
  </si>
  <si>
    <t>2008.06.16</t>
  </si>
  <si>
    <t>2012.06.04</t>
  </si>
  <si>
    <t>본부장</t>
  </si>
  <si>
    <t>석탄재</t>
  </si>
  <si>
    <t>2020.04.03</t>
  </si>
  <si>
    <t>1996.03.25</t>
  </si>
  <si>
    <t>2021.08.19</t>
  </si>
  <si>
    <t>2018.07.24</t>
  </si>
  <si>
    <t>2020.12.07</t>
  </si>
  <si>
    <t>폐타이어</t>
  </si>
  <si>
    <t>다. 자가재활용처리시설 현황</t>
  </si>
  <si>
    <t>재활용대상 폐기물</t>
  </si>
  <si>
    <t>처리시설</t>
  </si>
  <si>
    <t>처리방법</t>
  </si>
  <si>
    <t>처리능력</t>
  </si>
  <si>
    <t>1003</t>
  </si>
  <si>
    <t>동국제강㈜</t>
  </si>
  <si>
    <t>최삼영</t>
  </si>
  <si>
    <t>중봉대로 15</t>
  </si>
  <si>
    <t>제강슬래그</t>
  </si>
  <si>
    <t>파쇄, 분쇄시설</t>
  </si>
  <si>
    <t>1004</t>
  </si>
  <si>
    <t>032-830-6245</t>
  </si>
  <si>
    <t>2012.07.02</t>
  </si>
  <si>
    <t>신규</t>
  </si>
  <si>
    <t>㈜한화</t>
  </si>
  <si>
    <t>최광호</t>
  </si>
  <si>
    <t>당하동 720-1, 당하동 산 129-3[검단택지조성지구 3-2공구 내]</t>
  </si>
  <si>
    <t>1010</t>
  </si>
  <si>
    <t>070-4837-0279</t>
  </si>
  <si>
    <t>2021.12.24</t>
  </si>
  <si>
    <t>압축시설</t>
  </si>
  <si>
    <t>박찬익</t>
  </si>
  <si>
    <t>탈수시설</t>
  </si>
  <si>
    <t>절단시설</t>
  </si>
  <si>
    <t>소각열회수시설</t>
  </si>
  <si>
    <t>2024.11.01</t>
  </si>
  <si>
    <t>2013.12.23</t>
  </si>
  <si>
    <t>2001.09.13</t>
  </si>
  <si>
    <t>2024.12.05</t>
  </si>
  <si>
    <t>2019.12.11</t>
  </si>
  <si>
    <t>용융시설</t>
  </si>
  <si>
    <t>폐지, 폐포장재</t>
  </si>
  <si>
    <t>2013.07.25</t>
  </si>
  <si>
    <t>탈수ㆍ건조 시설</t>
  </si>
  <si>
    <t>분쇄시설</t>
  </si>
  <si>
    <t>2002.04.30</t>
  </si>
  <si>
    <t>2019.11.25</t>
  </si>
  <si>
    <t>1002</t>
  </si>
  <si>
    <t>2017.10.16</t>
  </si>
  <si>
    <t>61</t>
  </si>
  <si>
    <t>62</t>
  </si>
  <si>
    <t>63</t>
  </si>
  <si>
    <t>64</t>
  </si>
  <si>
    <t>65</t>
  </si>
  <si>
    <t>66</t>
  </si>
  <si>
    <t>67</t>
  </si>
  <si>
    <t>이정훈</t>
  </si>
  <si>
    <t>68</t>
  </si>
  <si>
    <t>69</t>
  </si>
  <si>
    <t>71</t>
  </si>
  <si>
    <t>72</t>
  </si>
  <si>
    <t>73</t>
  </si>
  <si>
    <t>74</t>
  </si>
  <si>
    <t>75</t>
  </si>
  <si>
    <t>2010</t>
  </si>
  <si>
    <t>76</t>
  </si>
  <si>
    <t>77</t>
  </si>
  <si>
    <t>78</t>
  </si>
  <si>
    <t>2019.05.22</t>
  </si>
  <si>
    <t>2019.12.16</t>
  </si>
  <si>
    <t>2021.12.22</t>
  </si>
  <si>
    <t>김현주</t>
  </si>
  <si>
    <t>2009.03.05</t>
  </si>
  <si>
    <t>2018.01.12</t>
  </si>
  <si>
    <t>2007.06.14</t>
  </si>
  <si>
    <t>2024.11.04</t>
  </si>
  <si>
    <t>2024.09.12</t>
  </si>
  <si>
    <t>2010.02.02</t>
  </si>
  <si>
    <t>정제시설</t>
  </si>
  <si>
    <t>반응시설</t>
  </si>
  <si>
    <t>2014.09.05</t>
  </si>
  <si>
    <t>2009</t>
  </si>
  <si>
    <t>2013.07.05</t>
  </si>
  <si>
    <t>2010.11.26</t>
  </si>
  <si>
    <t>2011.01.31</t>
  </si>
  <si>
    <t>1001</t>
  </si>
  <si>
    <t>2013.09.11</t>
  </si>
  <si>
    <t>폐의류</t>
  </si>
  <si>
    <t>2013.08.07</t>
  </si>
  <si>
    <t>2021.09.06</t>
  </si>
  <si>
    <t>2021.05.20</t>
  </si>
  <si>
    <t>2016.03.04</t>
  </si>
  <si>
    <t>실적없음</t>
  </si>
  <si>
    <t>2021.05.17</t>
  </si>
  <si>
    <t>2012.06.11</t>
  </si>
  <si>
    <t>2005</t>
  </si>
  <si>
    <t>2006</t>
  </si>
  <si>
    <t>2003</t>
  </si>
  <si>
    <t>2019.08.01</t>
  </si>
  <si>
    <t>2018.11.30</t>
  </si>
  <si>
    <t>2022.04.22</t>
  </si>
  <si>
    <t>사장</t>
  </si>
  <si>
    <t>김재우</t>
  </si>
  <si>
    <t>2003, 2004</t>
  </si>
  <si>
    <t>2013.11.06</t>
  </si>
  <si>
    <t>2018.11.27</t>
  </si>
  <si>
    <t>200</t>
  </si>
  <si>
    <t>2014.05.20</t>
  </si>
  <si>
    <t>라. 자가매립시설 현황</t>
  </si>
  <si>
    <t>매립지종류</t>
  </si>
  <si>
    <t>기매립량(2024년까지 전체 누적)</t>
  </si>
  <si>
    <t>잔여매립가능량</t>
  </si>
  <si>
    <t>2024년 매립량</t>
  </si>
  <si>
    <t>사용가능기간
(년-년)</t>
  </si>
  <si>
    <t>-195219.8</t>
  </si>
  <si>
    <t>-278491</t>
  </si>
  <si>
    <t>미추홀구</t>
  </si>
  <si>
    <t>㈜디씨알이</t>
  </si>
  <si>
    <t>정창현</t>
  </si>
  <si>
    <t>아암대로 287번길7(학익동) 외</t>
  </si>
  <si>
    <t>폐석회</t>
  </si>
  <si>
    <t>2007-2025</t>
  </si>
  <si>
    <t>032-880-7442</t>
  </si>
  <si>
    <t>한국남동발전㈜ 영흥발전본부</t>
  </si>
  <si>
    <t>영흥면 외리 1344(1매립장)</t>
  </si>
  <si>
    <t>석탄연소재</t>
  </si>
  <si>
    <t>-240096.2</t>
  </si>
  <si>
    <t>-333467</t>
  </si>
  <si>
    <t>070-8898-3944</t>
  </si>
  <si>
    <t>2004.05.19</t>
  </si>
  <si>
    <t>시멘트원료로 재활용(직접제품제조)</t>
  </si>
  <si>
    <t>영흥면 외리 1344(2매립장)</t>
  </si>
  <si>
    <t>-8062.6</t>
  </si>
  <si>
    <t>-11198</t>
  </si>
  <si>
    <t>2014-2039</t>
  </si>
  <si>
    <t>070-8898-3942</t>
  </si>
  <si>
    <t>2013.10.30</t>
  </si>
  <si>
    <t>2015.09.11</t>
  </si>
  <si>
    <t>3. 폐기물 수집·운반업체 현황</t>
  </si>
  <si>
    <t>가. 생활, 사업장일반폐기물 수집·운반업체 현황</t>
  </si>
  <si>
    <t>영업대상 폐기물</t>
  </si>
  <si>
    <t>보유차량대수(대)</t>
  </si>
  <si>
    <t>적재능력합계(톤)</t>
  </si>
  <si>
    <t>2024년 수집·운반량</t>
  </si>
  <si>
    <t>2023.10.23</t>
  </si>
  <si>
    <t>김동준</t>
  </si>
  <si>
    <t>2023.03.31</t>
  </si>
  <si>
    <t>폐식용유</t>
  </si>
  <si>
    <t>대영상사</t>
  </si>
  <si>
    <t>강병구</t>
  </si>
  <si>
    <t>2022.04.20</t>
  </si>
  <si>
    <t>2016.04.12</t>
  </si>
  <si>
    <t>그 밖의 폐섬유</t>
  </si>
  <si>
    <t>2021.11.09</t>
  </si>
  <si>
    <t>2020.06.26</t>
  </si>
  <si>
    <t>2017.12.28</t>
  </si>
  <si>
    <t>2013.08.08</t>
  </si>
  <si>
    <t>2021.02.03</t>
  </si>
  <si>
    <t>최미자</t>
  </si>
  <si>
    <t>79</t>
  </si>
  <si>
    <t>2021.02.23</t>
  </si>
  <si>
    <t>80</t>
  </si>
  <si>
    <t>81</t>
  </si>
  <si>
    <t>82</t>
  </si>
  <si>
    <t>2024.12.13</t>
  </si>
  <si>
    <t>83</t>
  </si>
  <si>
    <t>84</t>
  </si>
  <si>
    <t>2022.11.23</t>
  </si>
  <si>
    <t>85</t>
  </si>
  <si>
    <t>86</t>
  </si>
  <si>
    <t>87</t>
  </si>
  <si>
    <t>88</t>
  </si>
  <si>
    <t>89</t>
  </si>
  <si>
    <t>91</t>
  </si>
  <si>
    <t>92</t>
  </si>
  <si>
    <t>2023.10.30</t>
  </si>
  <si>
    <t>94</t>
  </si>
  <si>
    <t>95</t>
  </si>
  <si>
    <t>96</t>
  </si>
  <si>
    <t>97</t>
  </si>
  <si>
    <t>98</t>
  </si>
  <si>
    <t>2012.03.09</t>
  </si>
  <si>
    <t>99</t>
  </si>
  <si>
    <t>100</t>
  </si>
  <si>
    <t>2022.12.26</t>
  </si>
  <si>
    <t>101</t>
  </si>
  <si>
    <t>102</t>
  </si>
  <si>
    <t>김동섭</t>
  </si>
  <si>
    <t>103</t>
  </si>
  <si>
    <t>104</t>
  </si>
  <si>
    <t>105</t>
  </si>
  <si>
    <t>106</t>
  </si>
  <si>
    <t>107</t>
  </si>
  <si>
    <t>108</t>
  </si>
  <si>
    <t>2024.05.16</t>
  </si>
  <si>
    <t>109</t>
  </si>
  <si>
    <t>110</t>
  </si>
  <si>
    <t>2024.01.18</t>
  </si>
  <si>
    <t>111</t>
  </si>
  <si>
    <t>112</t>
  </si>
  <si>
    <t>113</t>
  </si>
  <si>
    <t>114</t>
  </si>
  <si>
    <t>2023.08.29</t>
  </si>
  <si>
    <t>115</t>
  </si>
  <si>
    <t>116</t>
  </si>
  <si>
    <t>117</t>
  </si>
  <si>
    <t>2023.04.11</t>
  </si>
  <si>
    <t>118</t>
  </si>
  <si>
    <t>119</t>
  </si>
  <si>
    <t>120</t>
  </si>
  <si>
    <t>121</t>
  </si>
  <si>
    <t>122</t>
  </si>
  <si>
    <t>123</t>
  </si>
  <si>
    <t>124</t>
  </si>
  <si>
    <t>2023.03.13</t>
  </si>
  <si>
    <t>125</t>
  </si>
  <si>
    <t>126</t>
  </si>
  <si>
    <t>127</t>
  </si>
  <si>
    <t>128</t>
  </si>
  <si>
    <t>2016.09.09</t>
  </si>
  <si>
    <t>130</t>
  </si>
  <si>
    <t>131</t>
  </si>
  <si>
    <t>132</t>
  </si>
  <si>
    <t>최현수</t>
  </si>
  <si>
    <t>133</t>
  </si>
  <si>
    <t>134</t>
  </si>
  <si>
    <t>135</t>
  </si>
  <si>
    <t>136</t>
  </si>
  <si>
    <t>137</t>
  </si>
  <si>
    <t>138</t>
  </si>
  <si>
    <t>139</t>
  </si>
  <si>
    <t>2021.07.19</t>
  </si>
  <si>
    <t>140</t>
  </si>
  <si>
    <t>141</t>
  </si>
  <si>
    <t>142</t>
  </si>
  <si>
    <t>2020.05.06</t>
  </si>
  <si>
    <t>143</t>
  </si>
  <si>
    <t>2004.03.17</t>
  </si>
  <si>
    <t>144</t>
  </si>
  <si>
    <t>2024.06.21</t>
  </si>
  <si>
    <t>145</t>
  </si>
  <si>
    <t>146</t>
  </si>
  <si>
    <t>147</t>
  </si>
  <si>
    <t>148</t>
  </si>
  <si>
    <t>149</t>
  </si>
  <si>
    <t>우리자원</t>
  </si>
  <si>
    <t>150</t>
  </si>
  <si>
    <t>151</t>
  </si>
  <si>
    <t>152</t>
  </si>
  <si>
    <t>153</t>
  </si>
  <si>
    <t>154</t>
  </si>
  <si>
    <t>155</t>
  </si>
  <si>
    <t>156</t>
  </si>
  <si>
    <t>157</t>
  </si>
  <si>
    <t>2024.04.08</t>
  </si>
  <si>
    <t>2024.04.11</t>
  </si>
  <si>
    <t>159</t>
  </si>
  <si>
    <t>160</t>
  </si>
  <si>
    <t>2022.01.03</t>
  </si>
  <si>
    <t>161</t>
  </si>
  <si>
    <t>162</t>
  </si>
  <si>
    <t>163</t>
  </si>
  <si>
    <t>164</t>
  </si>
  <si>
    <t>165</t>
  </si>
  <si>
    <t>166</t>
  </si>
  <si>
    <t>167</t>
  </si>
  <si>
    <t>02-430-1772</t>
  </si>
  <si>
    <t>2023.05.03</t>
  </si>
  <si>
    <t>168</t>
  </si>
  <si>
    <t>169</t>
  </si>
  <si>
    <t>170</t>
  </si>
  <si>
    <t>171</t>
  </si>
  <si>
    <t>172</t>
  </si>
  <si>
    <t>2023.05.02</t>
  </si>
  <si>
    <t>173</t>
  </si>
  <si>
    <t>174</t>
  </si>
  <si>
    <t>175</t>
  </si>
  <si>
    <t>176</t>
  </si>
  <si>
    <t>177</t>
  </si>
  <si>
    <t>178</t>
  </si>
  <si>
    <t>179</t>
  </si>
  <si>
    <t>2018.01.30</t>
  </si>
  <si>
    <t>180</t>
  </si>
  <si>
    <t>181</t>
  </si>
  <si>
    <t>182</t>
  </si>
  <si>
    <t>183</t>
  </si>
  <si>
    <t>184</t>
  </si>
  <si>
    <t>185</t>
  </si>
  <si>
    <t>186</t>
  </si>
  <si>
    <t>2023.06.23</t>
  </si>
  <si>
    <t>187</t>
  </si>
  <si>
    <t>188</t>
  </si>
  <si>
    <t>2021.12.13</t>
  </si>
  <si>
    <t>189</t>
  </si>
  <si>
    <t>190</t>
  </si>
  <si>
    <t>191</t>
  </si>
  <si>
    <t>192</t>
  </si>
  <si>
    <t>193</t>
  </si>
  <si>
    <t>194</t>
  </si>
  <si>
    <t>195</t>
  </si>
  <si>
    <t>196</t>
  </si>
  <si>
    <t>197</t>
  </si>
  <si>
    <t>198</t>
  </si>
  <si>
    <t>199</t>
  </si>
  <si>
    <t>201</t>
  </si>
  <si>
    <t>2021.04.26</t>
  </si>
  <si>
    <t>202</t>
  </si>
  <si>
    <t>203</t>
  </si>
  <si>
    <t>204</t>
  </si>
  <si>
    <t>205</t>
  </si>
  <si>
    <t>206</t>
  </si>
  <si>
    <t>207</t>
  </si>
  <si>
    <t>208</t>
  </si>
  <si>
    <t>2015.07.03</t>
  </si>
  <si>
    <t>209</t>
  </si>
  <si>
    <t>210</t>
  </si>
  <si>
    <t>노말님</t>
  </si>
  <si>
    <t>211</t>
  </si>
  <si>
    <t>2018.10.05</t>
  </si>
  <si>
    <t>212</t>
  </si>
  <si>
    <t>213</t>
  </si>
  <si>
    <t>214</t>
  </si>
  <si>
    <t>215</t>
  </si>
  <si>
    <t>217</t>
  </si>
  <si>
    <t>218</t>
  </si>
  <si>
    <t>219</t>
  </si>
  <si>
    <t>220</t>
  </si>
  <si>
    <t>2014.08.21</t>
  </si>
  <si>
    <t>221</t>
  </si>
  <si>
    <t>222</t>
  </si>
  <si>
    <t>223</t>
  </si>
  <si>
    <t>224</t>
  </si>
  <si>
    <t>225</t>
  </si>
  <si>
    <t>226</t>
  </si>
  <si>
    <t>227</t>
  </si>
  <si>
    <t>228</t>
  </si>
  <si>
    <t>229</t>
  </si>
  <si>
    <t>230</t>
  </si>
  <si>
    <t>231</t>
  </si>
  <si>
    <t>232</t>
  </si>
  <si>
    <t>2018.08.14</t>
  </si>
  <si>
    <t>2025.01.21</t>
  </si>
  <si>
    <t>233</t>
  </si>
  <si>
    <t>234</t>
  </si>
  <si>
    <t>235</t>
  </si>
  <si>
    <t>236</t>
  </si>
  <si>
    <t>237</t>
  </si>
  <si>
    <t>238</t>
  </si>
  <si>
    <t>239</t>
  </si>
  <si>
    <t>2020.02.18</t>
  </si>
  <si>
    <t>240</t>
  </si>
  <si>
    <t>241</t>
  </si>
  <si>
    <t>242</t>
  </si>
  <si>
    <t>243</t>
  </si>
  <si>
    <t>244</t>
  </si>
  <si>
    <t>245</t>
  </si>
  <si>
    <t>2009.12.30</t>
  </si>
  <si>
    <t>246</t>
  </si>
  <si>
    <t>247</t>
  </si>
  <si>
    <t>248</t>
  </si>
  <si>
    <t>249</t>
  </si>
  <si>
    <t>250</t>
  </si>
  <si>
    <t>251</t>
  </si>
  <si>
    <t>252</t>
  </si>
  <si>
    <t>김용석</t>
  </si>
  <si>
    <t>253</t>
  </si>
  <si>
    <t>254</t>
  </si>
  <si>
    <t>255</t>
  </si>
  <si>
    <t>256</t>
  </si>
  <si>
    <t>257</t>
  </si>
  <si>
    <t>2022.02.21</t>
  </si>
  <si>
    <t>258</t>
  </si>
  <si>
    <t>259</t>
  </si>
  <si>
    <t>2024.09.26</t>
  </si>
  <si>
    <t>260</t>
  </si>
  <si>
    <t>261</t>
  </si>
  <si>
    <t>262</t>
  </si>
  <si>
    <t>263</t>
  </si>
  <si>
    <t>2017.02.09</t>
  </si>
  <si>
    <t>264</t>
  </si>
  <si>
    <t>265</t>
  </si>
  <si>
    <t>266</t>
  </si>
  <si>
    <t>267</t>
  </si>
  <si>
    <t>268</t>
  </si>
  <si>
    <t>269</t>
  </si>
  <si>
    <t>270</t>
  </si>
  <si>
    <t>2019.10.28</t>
  </si>
  <si>
    <t>271</t>
  </si>
  <si>
    <t>272</t>
  </si>
  <si>
    <t>2022.11.02</t>
  </si>
  <si>
    <t>273</t>
  </si>
  <si>
    <t>274</t>
  </si>
  <si>
    <t>275</t>
  </si>
  <si>
    <t>276</t>
  </si>
  <si>
    <t>277</t>
  </si>
  <si>
    <t>박성수</t>
  </si>
  <si>
    <t>278</t>
  </si>
  <si>
    <t>279</t>
  </si>
  <si>
    <t>280</t>
  </si>
  <si>
    <t>281</t>
  </si>
  <si>
    <t>282</t>
  </si>
  <si>
    <t>283</t>
  </si>
  <si>
    <t>2019.08.21</t>
  </si>
  <si>
    <t>284</t>
  </si>
  <si>
    <t>285</t>
  </si>
  <si>
    <t>286</t>
  </si>
  <si>
    <t>287</t>
  </si>
  <si>
    <t>2004.01.12</t>
  </si>
  <si>
    <t>288</t>
  </si>
  <si>
    <t>이경화</t>
  </si>
  <si>
    <t>289</t>
  </si>
  <si>
    <t>290</t>
  </si>
  <si>
    <t>291</t>
  </si>
  <si>
    <t>292</t>
  </si>
  <si>
    <t>293</t>
  </si>
  <si>
    <t>294</t>
  </si>
  <si>
    <t>295</t>
  </si>
  <si>
    <t>2024.06.10</t>
  </si>
  <si>
    <t>296</t>
  </si>
  <si>
    <t>297</t>
  </si>
  <si>
    <t>298</t>
  </si>
  <si>
    <t>299</t>
  </si>
  <si>
    <t>300</t>
  </si>
  <si>
    <t>301</t>
  </si>
  <si>
    <t>302</t>
  </si>
  <si>
    <t>303</t>
  </si>
  <si>
    <t>304</t>
  </si>
  <si>
    <t>305</t>
  </si>
  <si>
    <t>306</t>
  </si>
  <si>
    <t>307</t>
  </si>
  <si>
    <t>308</t>
  </si>
  <si>
    <t>309</t>
  </si>
  <si>
    <t>310</t>
  </si>
  <si>
    <t>311</t>
  </si>
  <si>
    <t>2023.12.28</t>
  </si>
  <si>
    <t>312</t>
  </si>
  <si>
    <t>313</t>
  </si>
  <si>
    <t>314</t>
  </si>
  <si>
    <t>이현주</t>
  </si>
  <si>
    <t>315</t>
  </si>
  <si>
    <t>316</t>
  </si>
  <si>
    <t>317</t>
  </si>
  <si>
    <t>2020.11.09</t>
  </si>
  <si>
    <t>318</t>
  </si>
  <si>
    <t>319</t>
  </si>
  <si>
    <t>320</t>
  </si>
  <si>
    <t>321</t>
  </si>
  <si>
    <t>322</t>
  </si>
  <si>
    <t>323</t>
  </si>
  <si>
    <t>324</t>
  </si>
  <si>
    <t>325</t>
  </si>
  <si>
    <t>326</t>
  </si>
  <si>
    <t>327</t>
  </si>
  <si>
    <t>328</t>
  </si>
  <si>
    <t>329</t>
  </si>
  <si>
    <t>2021.09.27</t>
  </si>
  <si>
    <t>330</t>
  </si>
  <si>
    <t>331</t>
  </si>
  <si>
    <t>2022.10.05</t>
  </si>
  <si>
    <t>332</t>
  </si>
  <si>
    <t>333</t>
  </si>
  <si>
    <t>334</t>
  </si>
  <si>
    <t>2019.08.06</t>
  </si>
  <si>
    <t>335</t>
  </si>
  <si>
    <t>2022.10.27</t>
  </si>
  <si>
    <t>336</t>
  </si>
  <si>
    <t>337</t>
  </si>
  <si>
    <t>338</t>
  </si>
  <si>
    <t>339</t>
  </si>
  <si>
    <t>초록환경개발</t>
  </si>
  <si>
    <t>2024.01.31</t>
  </si>
  <si>
    <t>2018.06.22</t>
  </si>
  <si>
    <t>이상진</t>
  </si>
  <si>
    <t>2019.03.05</t>
  </si>
  <si>
    <t>2012.03.02</t>
  </si>
  <si>
    <t>2004.09.09</t>
  </si>
  <si>
    <t>2022.06.07</t>
  </si>
  <si>
    <t>대성자원</t>
  </si>
  <si>
    <t>2021.05.18</t>
  </si>
  <si>
    <t>2011.05.19</t>
  </si>
  <si>
    <t>2021.04.27</t>
  </si>
  <si>
    <t>2024.11.11</t>
  </si>
  <si>
    <t>2019.12.18</t>
  </si>
  <si>
    <t>2014.03.27</t>
  </si>
  <si>
    <t>2023.11.28</t>
  </si>
  <si>
    <t>2020.01.16</t>
  </si>
  <si>
    <t>2024.05.08</t>
  </si>
  <si>
    <t>2003.09.25</t>
  </si>
  <si>
    <t>2000.07.24</t>
  </si>
  <si>
    <t>이미라</t>
  </si>
  <si>
    <t>2024.04.30</t>
  </si>
  <si>
    <t>2019.12.13</t>
  </si>
  <si>
    <t>2020.01.30</t>
  </si>
  <si>
    <t>폐업</t>
  </si>
  <si>
    <t>2022.05.09</t>
  </si>
  <si>
    <t>태산환경</t>
  </si>
  <si>
    <t>2020.12.23</t>
  </si>
  <si>
    <t>박미선</t>
  </si>
  <si>
    <t>2021.07.27</t>
  </si>
  <si>
    <t>2018.09.11</t>
  </si>
  <si>
    <t>2019.03.29</t>
  </si>
  <si>
    <t>김진영</t>
  </si>
  <si>
    <t>2011.05.09</t>
  </si>
  <si>
    <t>2019.01.16</t>
  </si>
  <si>
    <t>2024.08.26</t>
  </si>
  <si>
    <t>휴업</t>
  </si>
  <si>
    <t>2014.11.19</t>
  </si>
  <si>
    <t>2021.03.08</t>
  </si>
  <si>
    <t>2021.12.27</t>
  </si>
  <si>
    <t>2024.12.17</t>
  </si>
  <si>
    <t>2021.06.15</t>
  </si>
  <si>
    <t>2004.06.19</t>
  </si>
  <si>
    <t>정성훈</t>
  </si>
  <si>
    <t>2018.09.17</t>
  </si>
  <si>
    <t>2019.12.20</t>
  </si>
  <si>
    <t>2012.09.14</t>
  </si>
  <si>
    <t>2020.05.25</t>
  </si>
  <si>
    <t>2023.01.10</t>
  </si>
  <si>
    <t>2021.01.26</t>
  </si>
  <si>
    <t>2025.03.19</t>
  </si>
  <si>
    <t>2022.09.19</t>
  </si>
  <si>
    <t>사업장배출시설계폐기물(고상)</t>
  </si>
  <si>
    <t>2017.09.15</t>
  </si>
  <si>
    <t>2015.12.01</t>
  </si>
  <si>
    <t>선진환경</t>
  </si>
  <si>
    <t>2022.11.16</t>
  </si>
  <si>
    <t>김미경</t>
  </si>
  <si>
    <t>김영남</t>
  </si>
  <si>
    <t>2001.03.12</t>
  </si>
  <si>
    <t>2024.01.29</t>
  </si>
  <si>
    <t>2022.12.14</t>
  </si>
  <si>
    <t>2021.08.05</t>
  </si>
  <si>
    <t>2015.09.16</t>
  </si>
  <si>
    <t>김성현</t>
  </si>
  <si>
    <t>김영수</t>
  </si>
  <si>
    <t>2021.08.17</t>
  </si>
  <si>
    <t>2016.03.24</t>
  </si>
  <si>
    <t>2018.09.12</t>
  </si>
  <si>
    <t>2024.10.24</t>
  </si>
  <si>
    <t>2020.03.16</t>
  </si>
  <si>
    <t>2017.05.01</t>
  </si>
  <si>
    <t>유연환경</t>
  </si>
  <si>
    <t>대성환경</t>
  </si>
  <si>
    <t>340</t>
  </si>
  <si>
    <t>341</t>
  </si>
  <si>
    <t>342</t>
  </si>
  <si>
    <t>2022.06.09</t>
  </si>
  <si>
    <t>343</t>
  </si>
  <si>
    <t>2019.08.02</t>
  </si>
  <si>
    <t>344</t>
  </si>
  <si>
    <t>2019.12.19</t>
  </si>
  <si>
    <t>345</t>
  </si>
  <si>
    <t>2019.09.24</t>
  </si>
  <si>
    <t>346</t>
  </si>
  <si>
    <t>347</t>
  </si>
  <si>
    <t>348</t>
  </si>
  <si>
    <t>349</t>
  </si>
  <si>
    <t>350</t>
  </si>
  <si>
    <t>351</t>
  </si>
  <si>
    <t>352</t>
  </si>
  <si>
    <t>353</t>
  </si>
  <si>
    <t>2019.11.15</t>
  </si>
  <si>
    <t>354</t>
  </si>
  <si>
    <t>355</t>
  </si>
  <si>
    <t>356</t>
  </si>
  <si>
    <t>이근수</t>
  </si>
  <si>
    <t>2021.04.05</t>
  </si>
  <si>
    <t>㈜삼원로지스</t>
  </si>
  <si>
    <t>2023.08.02</t>
  </si>
  <si>
    <t>2020.04.10</t>
  </si>
  <si>
    <t>2012.12.04</t>
  </si>
  <si>
    <t>2024.10.18</t>
  </si>
  <si>
    <t>2021.11.02</t>
  </si>
  <si>
    <t>2023.02.14</t>
  </si>
  <si>
    <t>2022.10.31</t>
  </si>
  <si>
    <t>2020.08.10</t>
  </si>
  <si>
    <t>2023.05.25</t>
  </si>
  <si>
    <t>2023.09.15</t>
  </si>
  <si>
    <t>2020.02.11</t>
  </si>
  <si>
    <t>2022.02.24</t>
  </si>
  <si>
    <t>김정수</t>
  </si>
  <si>
    <t>2017.11.20</t>
  </si>
  <si>
    <t>2024.01.26</t>
  </si>
  <si>
    <t>2019.01.17</t>
  </si>
  <si>
    <t>2017.02.28</t>
  </si>
  <si>
    <t>2022.11.07</t>
  </si>
  <si>
    <t>2015.05.22</t>
  </si>
  <si>
    <t>양수인수</t>
  </si>
  <si>
    <t>㈜에이스환경</t>
  </si>
  <si>
    <t>실적없음, 폐업</t>
  </si>
  <si>
    <t>김정순</t>
  </si>
  <si>
    <t>2024.02.20</t>
  </si>
  <si>
    <t>2023.08.17</t>
  </si>
  <si>
    <t>2022.12.22</t>
  </si>
  <si>
    <t>2024.07.05</t>
  </si>
  <si>
    <t>이경미</t>
  </si>
  <si>
    <t>신동아환경</t>
  </si>
  <si>
    <t>2021.03.24</t>
  </si>
  <si>
    <t>김종열</t>
  </si>
  <si>
    <t>2024.04.22</t>
  </si>
  <si>
    <t>2022.11.14</t>
  </si>
  <si>
    <t>2023.01.06</t>
  </si>
  <si>
    <t>2024.11.29</t>
  </si>
  <si>
    <t>2023.10.20</t>
  </si>
  <si>
    <t>2023.08.16</t>
  </si>
  <si>
    <t>2008.11.26</t>
  </si>
  <si>
    <t>2024.10.07</t>
  </si>
  <si>
    <t>2018.06.14</t>
  </si>
  <si>
    <t>현대자원</t>
  </si>
  <si>
    <t>2023.01.19</t>
  </si>
  <si>
    <t>2007.01.03</t>
  </si>
  <si>
    <t>김성철</t>
  </si>
  <si>
    <t>자연환경</t>
  </si>
  <si>
    <t>2012.05.25</t>
  </si>
  <si>
    <t>2024.10.25</t>
  </si>
  <si>
    <t>2016.12.06</t>
  </si>
  <si>
    <t>이상국</t>
  </si>
  <si>
    <t>2013.02.13</t>
  </si>
  <si>
    <t>483개소</t>
  </si>
  <si>
    <t>㈜고려환경</t>
  </si>
  <si>
    <t>한순일</t>
  </si>
  <si>
    <t>도원로 61 (유동)</t>
  </si>
  <si>
    <t>무기성오니류, 폐합성고분자화합물, 폐타이어, 동식물성잔재물, 폐전기전자제품류, 폐목재류, 폐토사류, 폐섬유류(그밖의 폐섬유 제외), 폐지류, 폐금속류, 폐유리류, 폐타일, 폐보드류, 폐판넬, 폐소화기류, 폐전지류, 폐차발생폐기물, 그밖의 폐기물</t>
  </si>
  <si>
    <t>032-887-8026</t>
  </si>
  <si>
    <t>폐합성수지류(51-03-01),폐합성고무류(51-03-02),그밖의폐타이어(51-15-02),그밖의폐목재류(51-20-99),폐콘크리트(51-22-01),폐아스팔트콘크리트(51-23-00),폐타일(51-31-00) ,그밖의무기성오니(51-02-99)</t>
  </si>
  <si>
    <t>1995.12.20</t>
  </si>
  <si>
    <t>㈜중앙Emc</t>
  </si>
  <si>
    <t>김행균</t>
  </si>
  <si>
    <t>도원로8번길 52
(신흥동3가)</t>
  </si>
  <si>
    <t>유기성오니류, 무기성오니류, 폐합성수지류, 광재류, 분진, 폐주물사, 폐사, 소각재, 폐흡착제, 폐흡수제, 연소잔재물, 폐합성고분자화합물, 폐내화물, 폐도자기조각, 폐촉매, 폐석고, 폐석회, 폐석재류, 동식물성잔재물, 폐목재류, 폐토사류, 그밖의폐기물</t>
  </si>
  <si>
    <t>032-888-3500</t>
  </si>
  <si>
    <t>1993.04.28</t>
  </si>
  <si>
    <t>유성운수㈜</t>
  </si>
  <si>
    <t>홍은자</t>
  </si>
  <si>
    <t>서해대로 106, 다동 305호(신흥동3가)</t>
  </si>
  <si>
    <t>광재, 분진, 폐주물사 등 고상폐기물</t>
  </si>
  <si>
    <t>032-885-4561</t>
  </si>
  <si>
    <t>2011.12.12</t>
  </si>
  <si>
    <t>㈜대한공해엔지니어링</t>
  </si>
  <si>
    <t>김철용</t>
  </si>
  <si>
    <t>서해대로 110
(신흥동3가)</t>
  </si>
  <si>
    <t>032-884-3671</t>
  </si>
  <si>
    <t>㈜은성개발</t>
  </si>
  <si>
    <t>서영호</t>
  </si>
  <si>
    <t>서해대로 336, 
신관605호
(신흥동3가, 정석빌딩)</t>
  </si>
  <si>
    <t>032-885-7922</t>
  </si>
  <si>
    <t>1996.05.14</t>
  </si>
  <si>
    <t>조경자</t>
  </si>
  <si>
    <t>서해대로483번길 6, 2층(유동)</t>
  </si>
  <si>
    <t>폐석재류, 폐토사류, 폐콘크리트, 폐유리, 무기성오니류, 폐합성고분자화합물, 광재류, 분진, 폐주물사, 폐사, 폐내화물, 폐도자기조각, 소각재, 안정화, 고형화고화처리물, 폐촉매, 폐흡착제, 폐흡수제, 유기성오니류, 연소잔재물, 혼합건설폐기물, 그밖의폐기물</t>
  </si>
  <si>
    <t>032-422-2772</t>
  </si>
  <si>
    <t>2000.06.16</t>
  </si>
  <si>
    <t>인성코퍼레이션㈜</t>
  </si>
  <si>
    <t>추성호</t>
  </si>
  <si>
    <t>서해대로93번길 14-1, 3층(항동7가)</t>
  </si>
  <si>
    <t>사업장비배출계 폐기물</t>
  </si>
  <si>
    <t>032-555-7971</t>
  </si>
  <si>
    <t>2020.06.25</t>
  </si>
  <si>
    <t>폐합성고분자화합물 등</t>
  </si>
  <si>
    <t>㈜대영알씨</t>
  </si>
  <si>
    <t>이제혁</t>
  </si>
  <si>
    <t>서해대로94번길 47 (신흥동3가)</t>
  </si>
  <si>
    <t>폐합성수지류(폐염화비닐수지류는 제외한다), 폐합성고무류,폐발포합성수지,플라스틱폐포장재,임목폐목재,목재가공공장 부산물, 건축현장 폐목재,폐종이류,고철,비철금속,폐유리,고철 및 금속캔류</t>
  </si>
  <si>
    <t>032-887-8878</t>
  </si>
  <si>
    <t>2021.10.14</t>
  </si>
  <si>
    <t>폐합성수지류(폐염화비닐수지류는 제외한다),폐합성고무류,폐발포합성수지,플라스틱폐포장재,임목폐목재,목재가공공장 부산물,건축현장 폐목재,폐합성섬유,폐종이류,고철,비철금속,폐금속캔류,폐유리</t>
  </si>
  <si>
    <t>대주중공업㈜</t>
  </si>
  <si>
    <t>박주정</t>
  </si>
  <si>
    <t>신포로 4(사동)</t>
  </si>
  <si>
    <t>고로슬래그, 제강슬래그, 비철금속제련공정광재, 선광공정광재, 제철공정분진, 그밖의 분진, 사업장폐기물 소각시설 비산재, 사업장폐기물 소각시설 바닥재, 폐토사, 고철, 비철금속</t>
  </si>
  <si>
    <t>032-760-3204</t>
  </si>
  <si>
    <t>2020.06.12</t>
  </si>
  <si>
    <t>경인환경산업㈜</t>
  </si>
  <si>
    <t>김원재</t>
  </si>
  <si>
    <t>신포로23번길 49, 207호(중앙동3가)</t>
  </si>
  <si>
    <t>그밖의폐섬유(일회용기저귀)</t>
  </si>
  <si>
    <t>070-4064-3119</t>
  </si>
  <si>
    <t>2020.04.29</t>
  </si>
  <si>
    <t>친환경</t>
  </si>
  <si>
    <t>이원우</t>
  </si>
  <si>
    <t>율목로 6-1,1층(율목동)</t>
  </si>
  <si>
    <t>폐합성수지류, 폐합성고무류, 폐폴리염화비닐수지류, 폐폴리우레탄폼류, 폐발포합성수지, 플라스틱폐포장재, 그 밖의 폐합성고분자화합물(합성수지류로 피복된 폐전선을 포함한다), 그 밖의 폐전지전자제품류, 임목폐목재, 제재부산물, 폐가구류,폐도장목,폐목재포장재,폐전선드럼[원목상태의 깨끗한 목재를 말한다], 폐가구류,폐도장목,폐목재포장재,폐전선드럼[접착제,페인트,기름,콘크리트 등의 물질이 사용된 목재를 말한다], 폐가구류,폐도장목,폐목재포장재,폐전선드럼[할로겐족 유기화합물 또는 방부제가 사용된 목재를 말한다], 폐받침목, 그 밖의 폐목재류, 폐천연섬유, 폐합성섬유, 폐의류, 폐종이류, 폐벽지, 폐금속캔류, 폐금속용기류, 폐유리, 폐유리병류, 음식물류폐기물, 중간가공음식물류폐기물, 그 밖의 음식물류폐기물처리잔재물</t>
  </si>
  <si>
    <t>㈜청운산업개발</t>
  </si>
  <si>
    <t>백승운</t>
  </si>
  <si>
    <t>인중로 6, A동 721호, 722호(신흥동3가, 정광씨팰리스)</t>
  </si>
  <si>
    <t>유기성오니류,무기성오니류,폐합성고분자화합물,광재류,분진류,폐주물사 및 폐사,소각재,폐흡착제 및 폐흡수제,폐석고 및 폐석회,연소잔재물,폐석재류,폐토사류,폐콘크리트류,제강슬래그</t>
  </si>
  <si>
    <t>032-886-7080</t>
  </si>
  <si>
    <t>2020.03.05</t>
  </si>
  <si>
    <t>㈜제이와이로지스</t>
  </si>
  <si>
    <t>최명준</t>
  </si>
  <si>
    <t>인중로 96, 109호
(신흥동2가, 누리타워)</t>
  </si>
  <si>
    <t>무기성오니류, 그 밖의 광재류,
   그 밖의 폐금속류, 그 밖의 분진, 폐내화물</t>
  </si>
  <si>
    <t>032-882-1770</t>
  </si>
  <si>
    <t>2014.12.26</t>
  </si>
  <si>
    <t>㈜다금물류</t>
  </si>
  <si>
    <t>정지헌</t>
  </si>
  <si>
    <t>인중로 97, 상가동 207호
(신흥동2가, 삼익상가)</t>
  </si>
  <si>
    <t>폐주물사 및 폐사, 식물성잔재물, 광재류, 분진, 유무기성오니류, 그밖의폐기물(고상), 소각재, 폐석분토사, 폐석재, 폐유리병류</t>
  </si>
  <si>
    <t>032-888-8905</t>
  </si>
  <si>
    <t>2011.10.21</t>
  </si>
  <si>
    <t>㈜제이원개발</t>
  </si>
  <si>
    <t>안지원</t>
  </si>
  <si>
    <t>인중로144번길 54-2, 2층(신흥동1가)</t>
  </si>
  <si>
    <t>하수처리오니, 하수준설토</t>
  </si>
  <si>
    <t>032-761-3731</t>
  </si>
  <si>
    <t>2024.09.23</t>
  </si>
  <si>
    <t>택광종합물류㈜</t>
  </si>
  <si>
    <t>이상효</t>
  </si>
  <si>
    <t>인중로63번길 38, 2층(신흥동3가)</t>
  </si>
  <si>
    <t>유기성오니류, 무기성오니류,광재류,분진류,폐주물사 및 폐사,폐금속류,폐석고 및 폐석회,석탄재,폐석분토사,폐흡착제 및 폐흡수제,폐콘크리트류,폐아스팔트콘크리트,폐차파쇄잔재물</t>
  </si>
  <si>
    <t>032-765-2222</t>
  </si>
  <si>
    <t>2020.01.31</t>
  </si>
  <si>
    <t>신성환경</t>
  </si>
  <si>
    <t>소현미</t>
  </si>
  <si>
    <t>인천 중구 마장포로40번길 49</t>
  </si>
  <si>
    <t>폐합성수지류, 폐합성고무류, 폐폴리우레탄폼류, 플라스틱폐포장재, 가정용폐전기전자제품, 산업용폐전기전자제품, 임목폐목재, 제재부산물, 목재가공공장 부산물, 폐가구류·폐도장목·폐목재포장재·폐전선드럼·건설현장 폐목재, 그 밖의 폐목재류, 폐천연섬유, 폐합성섬유, 폐의류, 폐종이팩, 폐종이류, 고철, 비철금속, 폐금속캔류, 폐금속용기류, 폐유리, 폐유리병류</t>
  </si>
  <si>
    <t>032-751-3416</t>
  </si>
  <si>
    <t>2016.03.02</t>
  </si>
  <si>
    <t>주식회사 99철거</t>
  </si>
  <si>
    <t>이명애</t>
  </si>
  <si>
    <t>인천 중구 운중로 137-83</t>
  </si>
  <si>
    <t>폐합성수지, 목재가공공장 부산물, 폐받침목, 그 밖의 폐목재류, 고철</t>
  </si>
  <si>
    <t>032-751-4444</t>
  </si>
  <si>
    <t>2017.03.20</t>
  </si>
  <si>
    <t>㈜태산산업</t>
  </si>
  <si>
    <t>유문성</t>
  </si>
  <si>
    <t>인천 중구 중산로 82(중산동)</t>
  </si>
  <si>
    <t>폐합성수지, 폐목재류</t>
  </si>
  <si>
    <t>폐합성수지, 광재, 분진, 폐목재류, 무기성오니류, 폐주물사</t>
  </si>
  <si>
    <t>032-751-2100</t>
  </si>
  <si>
    <t>유민철강산업 주식회사</t>
  </si>
  <si>
    <t>김미현</t>
  </si>
  <si>
    <t>인천광역시 중구 하늘달빛로64번길 6-3, 5층 504호 내 J-16호
 (중산동, 스카이 메디컬 프라자)</t>
  </si>
  <si>
    <t>폐합성수지류, 그 밖의 폐합성고분자화합물, 가정용폐전기전자제품, 임목폐목재, 그 밖의 폐목재류, 폐합성섬유, 폐의류, 그 밖의 폐섬유, 폐종이류, 고철</t>
  </si>
  <si>
    <t>2021.11.24</t>
  </si>
  <si>
    <t>㈜앤유</t>
  </si>
  <si>
    <t>이혜영</t>
  </si>
  <si>
    <t>인항로 42, 205호(신흥동3가)</t>
  </si>
  <si>
    <t>폐합성수지류, 플라스틱폐포장재, 그 밖의 폐합성고분자화합물 등, 폐전기전자제품류</t>
  </si>
  <si>
    <t>032-889-0985</t>
  </si>
  <si>
    <t>㈜해천물류</t>
  </si>
  <si>
    <t>한주영</t>
  </si>
  <si>
    <t>인항로 6, A동 509호(신흥동3가, 정광씨팰리스)</t>
  </si>
  <si>
    <t>032-884-3361</t>
  </si>
  <si>
    <t>2017.01.13</t>
  </si>
  <si>
    <t>㈜세창물류</t>
  </si>
  <si>
    <t>임풍석</t>
  </si>
  <si>
    <t>인항로 6, B동1408호
(신흥동3가, 정광씨팰리스)</t>
  </si>
  <si>
    <t>산화철, 식물성잔재물, 유기성오니류, 무기성오니류, 광재류, 분진, 페주물사, 폐주사, 폐내화물, 폐도자기조각, 소각재, 폐석고, 폐석회, 폐타이어, 폐목재류, 폐토사류, 폐벽돌, 폐금속류, 폐유리, 그밖의폐기물</t>
  </si>
  <si>
    <t>032-888-1181</t>
  </si>
  <si>
    <t>2010.02.23</t>
  </si>
  <si>
    <t>경인에코텍㈜</t>
  </si>
  <si>
    <t>김빈</t>
  </si>
  <si>
    <t>중구 공항동로295번길 77-6</t>
  </si>
  <si>
    <t>032-744-5020</t>
  </si>
  <si>
    <t>2002.08.01</t>
  </si>
  <si>
    <t>중구-&gt;경제청
경제청 영종관리과(신효진032-453-7715)</t>
  </si>
  <si>
    <t>㈜밸런스인더스트리</t>
  </si>
  <si>
    <t>라미선</t>
  </si>
  <si>
    <t>축항대로 249
(항동7가)</t>
  </si>
  <si>
    <t>폐합성수지, 폐섬유류, 폐합성고무류, 동식물성잔재물, 폐전기전자제품류, 폐목재류, 폐지류, 폐금속류</t>
  </si>
  <si>
    <t>032-885-8725</t>
  </si>
  <si>
    <t>2013.04.23</t>
  </si>
  <si>
    <t>2011.05.16</t>
  </si>
  <si>
    <t>리더스환경</t>
  </si>
  <si>
    <t>이봉숙</t>
  </si>
  <si>
    <t>축항대로 78, 302호
(항동7가, 백운빌딩)</t>
  </si>
  <si>
    <t>폐합성수지류, 페합성고무류, 폐합성고분자화합물, 폐목재류, 폐섬유, 폐주물사, 폐사, 광재류, 오니류, 폐지류, 동식물성잔재물, 폐보온재, 폐토사, 소각재, 그밖의폐기물, 그밖의 음식물류 폐기물처리 잔재물</t>
  </si>
  <si>
    <t>032-887-8799</t>
  </si>
  <si>
    <t>㈜다복산업</t>
  </si>
  <si>
    <t>축항대로173, 1층(항동7가)</t>
  </si>
  <si>
    <t>석재골재폐수처리오니,폐석고 및 폐석회, 폐콘크리트류,폐아스팔트콘크리트,폐벽돌,폐블록,폐기와</t>
  </si>
  <si>
    <t>032-882-0746</t>
  </si>
  <si>
    <t>2021.02.15</t>
  </si>
  <si>
    <t>2024.03.28</t>
  </si>
  <si>
    <t>㈜석도산업개발</t>
  </si>
  <si>
    <t>김은미</t>
  </si>
  <si>
    <t>축항대로173, 2층(항동7가)</t>
  </si>
  <si>
    <t>(고상)석재·골재폐수처리오니(51-02-06), 그 밖의 공정오니(51-02-19), 그 밖의 무기성오니(51-02-99), 광재류(51-04), 분진류(51-05), 폐주물사 및 폐사(51-06), 소각재(51-08), 안정화 또는 고형화·고화 처리물(51-09), 폐석고 및 폐석회(51-12), 연소잔재물(51-13), 폐석분토사(51-14-01), 폐토사류(51-21), 폐콘크리트류(51-22), 폐아스팔트콘크리트(51-23-00), 폐벽돌(51-24-00), 폐블록(51-25-00 ), 폐기와(51-26-00 )</t>
  </si>
  <si>
    <t>032-889-2177</t>
  </si>
  <si>
    <t>2023.03.23</t>
  </si>
  <si>
    <t>대성로지스틱㈜</t>
  </si>
  <si>
    <t>우지상</t>
  </si>
  <si>
    <t>032-887-2227</t>
  </si>
  <si>
    <t>2020.11.23</t>
  </si>
  <si>
    <t>성석개발㈜</t>
  </si>
  <si>
    <t>최은수</t>
  </si>
  <si>
    <t>축항대로212번길 48
(항동7가)</t>
  </si>
  <si>
    <t>그밖의무기성오니</t>
  </si>
  <si>
    <t>032-887-4053</t>
  </si>
  <si>
    <t>㈜영진운수</t>
  </si>
  <si>
    <t>최성업</t>
  </si>
  <si>
    <t>축항대로290번길 164, 103호(신흥동3가)</t>
  </si>
  <si>
    <t>032-764-3201</t>
  </si>
  <si>
    <t>2009.11.19</t>
  </si>
  <si>
    <t>덕성산업개발㈜</t>
  </si>
  <si>
    <t>권재형</t>
  </si>
  <si>
    <t>축항대로87번길 11, 디동 306호(항동7가, 인천국제수산물센터)</t>
  </si>
  <si>
    <t>무기성오니류(51-02),광재류(51-04), 분진류(51-05), 폐주물사 및 폐사(51-06), 소각재(51-08-02,04,06), 폐석고 및 폐석회(51-12), 폐토사류(51-21), 그밖의 폐금속류(51-29-99)</t>
  </si>
  <si>
    <t>032-574-1334</t>
  </si>
  <si>
    <t>㈜신일물류</t>
  </si>
  <si>
    <t>강재순</t>
  </si>
  <si>
    <t>홍예문로7, 206-3</t>
  </si>
  <si>
    <t>폐목재류 (51-20)</t>
  </si>
  <si>
    <t>032-777-7667</t>
  </si>
  <si>
    <t>2023.09.22</t>
  </si>
  <si>
    <t>(주)백송기업</t>
  </si>
  <si>
    <t>성광용</t>
  </si>
  <si>
    <t>금곡로 79-1</t>
  </si>
  <si>
    <t>032-763-9600</t>
  </si>
  <si>
    <t>(주)부강특수장비</t>
  </si>
  <si>
    <t>최진철</t>
  </si>
  <si>
    <t>동산로81번길 6</t>
  </si>
  <si>
    <t>032-815-1133</t>
  </si>
  <si>
    <t>2008.01.28</t>
  </si>
  <si>
    <t>(주)두레환경</t>
  </si>
  <si>
    <t>이학근</t>
  </si>
  <si>
    <t>방축로 105</t>
  </si>
  <si>
    <t>사업장비(非)배출시설계 (사업장생활계)</t>
  </si>
  <si>
    <t>032-579-9019</t>
  </si>
  <si>
    <t>2012.07.13</t>
  </si>
  <si>
    <t>주식회사 진환경</t>
  </si>
  <si>
    <t>설현진</t>
  </si>
  <si>
    <t>032-578-4787</t>
  </si>
  <si>
    <t>2020.10.12</t>
  </si>
  <si>
    <t>에스에이치환경(주)</t>
  </si>
  <si>
    <t>서순주</t>
  </si>
  <si>
    <t>방축로167번길 11</t>
  </si>
  <si>
    <t>032-581-7007</t>
  </si>
  <si>
    <t>2024.05.22</t>
  </si>
  <si>
    <t>전출</t>
  </si>
  <si>
    <t>2010.09.06</t>
  </si>
  <si>
    <t>(주)에스지환경</t>
  </si>
  <si>
    <t>이운식</t>
  </si>
  <si>
    <t>방축로37번길 30</t>
  </si>
  <si>
    <t>032-765-5643</t>
  </si>
  <si>
    <t>2013.03.06</t>
  </si>
  <si>
    <t>(주)존슨환경</t>
  </si>
  <si>
    <t>김귀강</t>
  </si>
  <si>
    <t>032-214-1727</t>
  </si>
  <si>
    <t>2018.12.18</t>
  </si>
  <si>
    <t>(주)현성환경개발</t>
  </si>
  <si>
    <t>한유동, 한재인</t>
  </si>
  <si>
    <t>032-571-6767</t>
  </si>
  <si>
    <t>2011.08.24</t>
  </si>
  <si>
    <t>금광자원</t>
  </si>
  <si>
    <t>정수균</t>
  </si>
  <si>
    <t>동신자원(주)</t>
  </si>
  <si>
    <t>하정효</t>
  </si>
  <si>
    <t>032-589-5063</t>
  </si>
  <si>
    <t>2009.09.15</t>
  </si>
  <si>
    <t>에코그린</t>
  </si>
  <si>
    <t>황선혁, 황장원</t>
  </si>
  <si>
    <t>032-325-7757</t>
  </si>
  <si>
    <t>2024.03.29</t>
  </si>
  <si>
    <t>전국환경운송(주)</t>
  </si>
  <si>
    <t>032-589-7730</t>
  </si>
  <si>
    <t>주식회사 삼육오로지스</t>
  </si>
  <si>
    <t>이홍주</t>
  </si>
  <si>
    <t>032-589-8134</t>
  </si>
  <si>
    <t>주식회사 현성이앤지</t>
  </si>
  <si>
    <t>한재인</t>
  </si>
  <si>
    <t>2018.01.19</t>
  </si>
  <si>
    <t>주원환경</t>
  </si>
  <si>
    <t>최용근</t>
  </si>
  <si>
    <t>2019.01.23</t>
  </si>
  <si>
    <t>(주)성하</t>
  </si>
  <si>
    <t>신현철</t>
  </si>
  <si>
    <t>방축로83번길 23</t>
  </si>
  <si>
    <t>032-589-2506</t>
  </si>
  <si>
    <t>2021.11.18</t>
  </si>
  <si>
    <t>MD환경</t>
  </si>
  <si>
    <t>백종국, 추성근</t>
  </si>
  <si>
    <t>2022.08.19</t>
  </si>
  <si>
    <t>뉴)강화환경</t>
  </si>
  <si>
    <t>조현</t>
  </si>
  <si>
    <t>032-887-3177</t>
  </si>
  <si>
    <t>(주)유니환경</t>
  </si>
  <si>
    <t>손진수</t>
  </si>
  <si>
    <t>보세로 29</t>
  </si>
  <si>
    <t>032-579-4408</t>
  </si>
  <si>
    <t>(주)신대한환경</t>
  </si>
  <si>
    <t>민철기</t>
  </si>
  <si>
    <t>봉수대로96번길 56</t>
  </si>
  <si>
    <t>032-578-1355</t>
  </si>
  <si>
    <t>2015.08.07</t>
  </si>
  <si>
    <t>(주)누리환경</t>
  </si>
  <si>
    <t>윤동옥</t>
  </si>
  <si>
    <t>샛골로194번길 30</t>
  </si>
  <si>
    <t>032-766-0201</t>
  </si>
  <si>
    <t>(주)인천위생공사</t>
  </si>
  <si>
    <t>김문산</t>
  </si>
  <si>
    <t>송림로 96</t>
  </si>
  <si>
    <t>032-766-4812</t>
  </si>
  <si>
    <t>1999.10.02</t>
  </si>
  <si>
    <t>(주)신원이엔티</t>
  </si>
  <si>
    <t>김학철</t>
  </si>
  <si>
    <t>송현로 44</t>
  </si>
  <si>
    <t>032-764-5534</t>
  </si>
  <si>
    <t>2022.09.08</t>
  </si>
  <si>
    <t>(주)동구환경</t>
  </si>
  <si>
    <t>김민철</t>
  </si>
  <si>
    <t>염전로 33</t>
  </si>
  <si>
    <t>032-765-4240</t>
  </si>
  <si>
    <t>2000.06.23</t>
  </si>
  <si>
    <t>(주)유원환경</t>
  </si>
  <si>
    <t>최승임</t>
  </si>
  <si>
    <t>중봉대로 87-6</t>
  </si>
  <si>
    <t>032-773-7614</t>
  </si>
  <si>
    <t>2003.03.11</t>
  </si>
  <si>
    <t>2019.03.19</t>
  </si>
  <si>
    <t>세광철강산업</t>
  </si>
  <si>
    <t>이경로</t>
  </si>
  <si>
    <t>경인로 173(도화동)</t>
  </si>
  <si>
    <t>032-446-1202</t>
  </si>
  <si>
    <t>2017.12.07</t>
  </si>
  <si>
    <t>새로이환경</t>
  </si>
  <si>
    <t>김채희</t>
  </si>
  <si>
    <t>방축로 190 제이동 1층 302호(도화동)</t>
  </si>
  <si>
    <t>032-875-8337</t>
  </si>
  <si>
    <t>2022.04.27</t>
  </si>
  <si>
    <t>㈜비와이</t>
  </si>
  <si>
    <t>최병영</t>
  </si>
  <si>
    <t>숙골로 87번길 28-1</t>
  </si>
  <si>
    <t>032-862-2228</t>
  </si>
  <si>
    <t>신호산업</t>
  </si>
  <si>
    <t>김진섭</t>
  </si>
  <si>
    <t>아암대로 227번길 14(김진섭)</t>
  </si>
  <si>
    <t>032-424-8686</t>
  </si>
  <si>
    <t>동아개발</t>
  </si>
  <si>
    <t>김도훈</t>
  </si>
  <si>
    <t>아암대로 227번길 70-18(학익동)</t>
  </si>
  <si>
    <t>032-875-7757</t>
  </si>
  <si>
    <t>실버그린산업</t>
  </si>
  <si>
    <t>방원혁 외1인</t>
  </si>
  <si>
    <t>염전로168번길 28 C동 1209호</t>
  </si>
  <si>
    <t>2019.11.20</t>
  </si>
  <si>
    <t>동아이엔티</t>
  </si>
  <si>
    <t>김도길 외1인</t>
  </si>
  <si>
    <t>염전로201번길 72(도화동)</t>
  </si>
  <si>
    <t>032-874-2077</t>
  </si>
  <si>
    <t>2004.12.30</t>
  </si>
  <si>
    <t>㈜태형환경</t>
  </si>
  <si>
    <t>민봉기</t>
  </si>
  <si>
    <t>인천광역시 미추홀구 
길파로35번길 25, 102호(주안동)</t>
  </si>
  <si>
    <t>032-868-9034</t>
  </si>
  <si>
    <t>1993.09.23</t>
  </si>
  <si>
    <t>㈜천산환경</t>
  </si>
  <si>
    <t>김건영</t>
  </si>
  <si>
    <t>인천광역시 미추홀구 
인하로298번길 27, 402호(주안동)</t>
  </si>
  <si>
    <t>032-439-6104</t>
  </si>
  <si>
    <t>1999.02.25</t>
  </si>
  <si>
    <t>㈜남구위생공사</t>
  </si>
  <si>
    <t>조원철</t>
  </si>
  <si>
    <t>인천광역시 미추홀구 
한나루로 479(용현동)</t>
  </si>
  <si>
    <t>032-868-0532</t>
  </si>
  <si>
    <t>1996.05.29</t>
  </si>
  <si>
    <t>동남환경㈜</t>
  </si>
  <si>
    <t>강재영</t>
  </si>
  <si>
    <t>인천광역시 미추홀구  
경원대로 737, 5층
(주안동)</t>
  </si>
  <si>
    <t>032-433-1501</t>
  </si>
  <si>
    <t>1991.05.10</t>
  </si>
  <si>
    <t>경남환경㈜</t>
  </si>
  <si>
    <t>박성규</t>
  </si>
  <si>
    <t>인천광역시 미추홀구  
숙골로39, 3층
 (도화동)</t>
  </si>
  <si>
    <t>032-469-0205</t>
  </si>
  <si>
    <t>1998.08.13</t>
  </si>
  <si>
    <t>㈜남우환경</t>
  </si>
  <si>
    <t>조광수</t>
  </si>
  <si>
    <t>인천광역시 미추홀구  
아암대로39, 1동 405호
(용현동)</t>
  </si>
  <si>
    <t>032-422-3388</t>
  </si>
  <si>
    <t>1993.02.23</t>
  </si>
  <si>
    <t>성우환경</t>
  </si>
  <si>
    <t>장성우</t>
  </si>
  <si>
    <t>인천광역시 미추홀구 인하로248번길58</t>
  </si>
  <si>
    <t>032-868-0891</t>
  </si>
  <si>
    <t>2018.05.17</t>
  </si>
  <si>
    <t>세광실업</t>
  </si>
  <si>
    <t>김숙량</t>
  </si>
  <si>
    <t>인천시 미추홀구 경인로 173(도화동)</t>
  </si>
  <si>
    <t>2011.10.30</t>
  </si>
  <si>
    <t>제이우드</t>
  </si>
  <si>
    <t>김보름</t>
  </si>
  <si>
    <t>인천시 미추홀구 경인로 392 90호(주안동)</t>
  </si>
  <si>
    <t>032-426-7600</t>
  </si>
  <si>
    <t>2012.11.20</t>
  </si>
  <si>
    <t>㈜정인로지스</t>
  </si>
  <si>
    <t>이옥연</t>
  </si>
  <si>
    <t>인천시 미추홀구 미추로 61, 101-203(숭의동, 광해리드빌)</t>
  </si>
  <si>
    <t>032-766-0766</t>
  </si>
  <si>
    <t>2015.07.17</t>
  </si>
  <si>
    <t>㈜신세계산업</t>
  </si>
  <si>
    <t>이한경</t>
  </si>
  <si>
    <t>인천시 미추홀구 소성로 250, 2층(학익동)</t>
  </si>
  <si>
    <t>032-561-2523</t>
  </si>
  <si>
    <t>1999.07.08</t>
  </si>
  <si>
    <t>㈜그린자원</t>
  </si>
  <si>
    <t>김덕기</t>
  </si>
  <si>
    <t>인천시 미추홀구 염전로 142(도화동)</t>
  </si>
  <si>
    <t>032-233-0482</t>
  </si>
  <si>
    <t>주식회사신성메탈</t>
  </si>
  <si>
    <t>최영동</t>
  </si>
  <si>
    <t>인천시 미추홀구 염전로201번길 4(도화동)</t>
  </si>
  <si>
    <t>032-205-9745</t>
  </si>
  <si>
    <t>2023.04.03</t>
  </si>
  <si>
    <t>㈜아세아티앤에스</t>
  </si>
  <si>
    <t>최정회</t>
  </si>
  <si>
    <t>인천시 미추홀구 인주대로 493, 2층 2호(주안동, 영훈빌딩)</t>
  </si>
  <si>
    <t>032-467-1375</t>
  </si>
  <si>
    <t>㈜프린웍스산업</t>
  </si>
  <si>
    <t>권재원</t>
  </si>
  <si>
    <t>인천시 미추홀구 장천로 6, 2층(숭의동)</t>
  </si>
  <si>
    <t>032-882-0113</t>
  </si>
  <si>
    <t>2021.03.02</t>
  </si>
  <si>
    <t>㈜성림이엔티</t>
  </si>
  <si>
    <t>류영수</t>
  </si>
  <si>
    <t>인천시 미추홀구 장천로24번길 12, 지엠빌 201호(숭의동)</t>
  </si>
  <si>
    <t>032-832-1452</t>
  </si>
  <si>
    <t>2008.02.28</t>
  </si>
  <si>
    <t>진영씨앤씨</t>
  </si>
  <si>
    <t>이영일</t>
  </si>
  <si>
    <t>장천로 23, 한영빌딩 201호(숭의동)</t>
  </si>
  <si>
    <t>032-429-7911</t>
  </si>
  <si>
    <t>유경환경개발</t>
  </si>
  <si>
    <t>홍민석</t>
  </si>
  <si>
    <t>연수구 센트럴로313, 6층 비615호</t>
  </si>
  <si>
    <t>032-812-9296</t>
  </si>
  <si>
    <t>2009.11.10</t>
  </si>
  <si>
    <t>㈜디와이산업</t>
  </si>
  <si>
    <t>동병준</t>
  </si>
  <si>
    <t>연수구 센트럴로313, B동 2512호 9-4</t>
  </si>
  <si>
    <t>2024.10.14</t>
  </si>
  <si>
    <t>송학금속㈜ 인천사무소</t>
  </si>
  <si>
    <t>이무욱
김연수</t>
  </si>
  <si>
    <t>연수구 송도과학로70, 오피스 2317호</t>
  </si>
  <si>
    <t>032-822-2256</t>
  </si>
  <si>
    <t>2018.01.22</t>
  </si>
  <si>
    <t>두리리싸이클링</t>
  </si>
  <si>
    <t>이정</t>
  </si>
  <si>
    <t>연수구 송도미래로 30, e동 801호</t>
  </si>
  <si>
    <t>032-720-4566</t>
  </si>
  <si>
    <t>2023.06.13</t>
  </si>
  <si>
    <t>2024.10.28</t>
  </si>
  <si>
    <t>천지환경개발㈜</t>
  </si>
  <si>
    <t>최재원</t>
  </si>
  <si>
    <t>연수구 송도미래로30, 디동 508호</t>
  </si>
  <si>
    <t>032-811-7051</t>
  </si>
  <si>
    <t>2020.04.07</t>
  </si>
  <si>
    <t>㈜더케이파트너스</t>
  </si>
  <si>
    <t>연수구 인천타워대로323, 에이동 1602호</t>
  </si>
  <si>
    <t>032-864-3457</t>
  </si>
  <si>
    <t>㈜올리싸이클</t>
  </si>
  <si>
    <t>김덕화</t>
  </si>
  <si>
    <t>연수구 인천타워대로54번길 15-3, 501~502호</t>
  </si>
  <si>
    <t>2024.06.25</t>
  </si>
  <si>
    <t>다모아환경</t>
  </si>
  <si>
    <t>김명하</t>
  </si>
  <si>
    <t>연수구 컨벤시아대로252번길 10, 1604동 504호</t>
  </si>
  <si>
    <t>2022.07.22</t>
  </si>
  <si>
    <t>삼진상사</t>
  </si>
  <si>
    <t>김수현</t>
  </si>
  <si>
    <t>연수구 해돋이로107, F동 706호</t>
  </si>
  <si>
    <t>02-2601-0087</t>
  </si>
  <si>
    <t>2017.08.02</t>
  </si>
  <si>
    <t>대동기초산업(주)</t>
  </si>
  <si>
    <t>김형택</t>
  </si>
  <si>
    <t>인천광역시 연수구 경원대로467번길 33, 302호</t>
  </si>
  <si>
    <t>032-813-3800</t>
  </si>
  <si>
    <t>대성시스템</t>
  </si>
  <si>
    <t>유명석</t>
  </si>
  <si>
    <t>인천광역시 연수구 능허대로79번길 30, 206호</t>
  </si>
  <si>
    <t>032-831-7051</t>
  </si>
  <si>
    <t>2006.06.08</t>
  </si>
  <si>
    <t>더블유에스환경</t>
  </si>
  <si>
    <t>김형준</t>
  </si>
  <si>
    <t>인천광역시 연수구 먼우금로222번길 41, 1107호</t>
  </si>
  <si>
    <t>070-4100-8880</t>
  </si>
  <si>
    <t>(주)서한기업</t>
  </si>
  <si>
    <t>안재윤</t>
  </si>
  <si>
    <t>인천광역시 연수구 벚꽃로 142, 2층</t>
  </si>
  <si>
    <t>생활(종량제봉투)</t>
  </si>
  <si>
    <t>032-817-2233</t>
  </si>
  <si>
    <t>2004.11.14</t>
  </si>
  <si>
    <t>㈜재민환경</t>
  </si>
  <si>
    <t>최가은</t>
  </si>
  <si>
    <t>인천광역시 연수구 새말로35번길 8-3, 102호</t>
  </si>
  <si>
    <t>070-4575-8001</t>
  </si>
  <si>
    <t>2013.08.09</t>
  </si>
  <si>
    <t>2015.04.15</t>
  </si>
  <si>
    <t>새수풀환경</t>
  </si>
  <si>
    <t>최영택</t>
  </si>
  <si>
    <t>인천광역시 연수구 새말로45번길 17, 101호</t>
  </si>
  <si>
    <t>032-813-3233</t>
  </si>
  <si>
    <t>2010.11.22</t>
  </si>
  <si>
    <t>장원ENC</t>
  </si>
  <si>
    <t>심문현</t>
  </si>
  <si>
    <t>인천광역시 연수구 새말로46번길 10</t>
  </si>
  <si>
    <t>축산물가공잔재물 등</t>
  </si>
  <si>
    <t>032-816-6532</t>
  </si>
  <si>
    <t>2017.04.18</t>
  </si>
  <si>
    <t>경인비철금속</t>
  </si>
  <si>
    <t>신현석</t>
  </si>
  <si>
    <t>인천광역시 연수구 샘말로21번길 14-11, 1층(지하)</t>
  </si>
  <si>
    <t>032-833-3691</t>
  </si>
  <si>
    <t>2014.02.04</t>
  </si>
  <si>
    <t>진주자원</t>
  </si>
  <si>
    <t>유진호</t>
  </si>
  <si>
    <t>인천광역시 연수구 샘말로21번길 14-11, 지하1층</t>
  </si>
  <si>
    <t>032-834-4313</t>
  </si>
  <si>
    <t>(주)송도환경</t>
  </si>
  <si>
    <t>정은희</t>
  </si>
  <si>
    <t>인천광역시 연수구 송도미래로 30, C동 2206호</t>
  </si>
  <si>
    <t>생활(대형)</t>
  </si>
  <si>
    <t>032-820-7322</t>
  </si>
  <si>
    <t>1999.07.29</t>
  </si>
  <si>
    <t>(주)당근환경</t>
  </si>
  <si>
    <t>조영민</t>
  </si>
  <si>
    <t>인천광역시 연수구 앵고개로 262, 820호</t>
  </si>
  <si>
    <t>주식회사 당근환경</t>
  </si>
  <si>
    <t>2023.03.10</t>
  </si>
  <si>
    <t>박유광</t>
  </si>
  <si>
    <t>인천광역시 연수구 옥련로 33, 104-101</t>
  </si>
  <si>
    <t>032-858-9948</t>
  </si>
  <si>
    <t>2006.10.25</t>
  </si>
  <si>
    <t>2024.06.19</t>
  </si>
  <si>
    <t>청목자원</t>
  </si>
  <si>
    <t>최재현</t>
  </si>
  <si>
    <t>인천광역시 연수구 옥련로 33, 상가 206호</t>
  </si>
  <si>
    <t>사업장생활계폐기물 등</t>
  </si>
  <si>
    <t>032-865-1100</t>
  </si>
  <si>
    <t>2014.07.03</t>
  </si>
  <si>
    <t>폐목재류 등</t>
  </si>
  <si>
    <t>2014.11.21</t>
  </si>
  <si>
    <t>미래건기(주)</t>
  </si>
  <si>
    <t>이태희</t>
  </si>
  <si>
    <t>인천광역시 연수구 옥련로 45, 207호</t>
  </si>
  <si>
    <t>폐수처리오니 등</t>
  </si>
  <si>
    <t>032-832-3417</t>
  </si>
  <si>
    <t>2013.07.23</t>
  </si>
  <si>
    <t>(주)새한환경</t>
  </si>
  <si>
    <t>최명순</t>
  </si>
  <si>
    <t>인천광역시 연수구 용담로 11</t>
  </si>
  <si>
    <t>032-851-8896</t>
  </si>
  <si>
    <t>광진환경</t>
  </si>
  <si>
    <t>안병민</t>
  </si>
  <si>
    <t>인천광역시 연수구 용담로 111, 6010호</t>
  </si>
  <si>
    <t>070-4575-3040</t>
  </si>
  <si>
    <t>2004.02.10</t>
  </si>
  <si>
    <t>(주)지원산업개발</t>
  </si>
  <si>
    <t>계기성</t>
  </si>
  <si>
    <t>인천광역시 연수구 용담로 68, 201호</t>
  </si>
  <si>
    <t>032-815-1881</t>
  </si>
  <si>
    <t>2012.01.06</t>
  </si>
  <si>
    <t>(주)대도환경</t>
  </si>
  <si>
    <t>한헌기, 오지숙</t>
  </si>
  <si>
    <t>인천광역시 연수구 용담로85번길 31, 404호</t>
  </si>
  <si>
    <t>032-817-2902</t>
  </si>
  <si>
    <t>1995.03.28</t>
  </si>
  <si>
    <t>(주)은성환경</t>
  </si>
  <si>
    <t>반재환</t>
  </si>
  <si>
    <t>인천광역시 연수구 용담로85번길 32, 502호</t>
  </si>
  <si>
    <t>032-818-6331</t>
  </si>
  <si>
    <t>(주)동우환경</t>
  </si>
  <si>
    <t>손현호</t>
  </si>
  <si>
    <t>인천광역시 연수구 인천타워대로 323, B동 1802-1호</t>
  </si>
  <si>
    <t>032-817-0552</t>
  </si>
  <si>
    <t>2006.11.27</t>
  </si>
  <si>
    <t>(주)인천연수구위생공사</t>
  </si>
  <si>
    <t>김근석</t>
  </si>
  <si>
    <t>인천광역시 연수구 인천타워대로 323, B동 1802호</t>
  </si>
  <si>
    <t>032-817-8877</t>
  </si>
  <si>
    <t>신우메탈코리아</t>
  </si>
  <si>
    <t>인천광역시 연수구 청능대로 109, 3층 17호</t>
  </si>
  <si>
    <t>(주)인하이엔티</t>
  </si>
  <si>
    <t>박창석</t>
  </si>
  <si>
    <t>인천광역시 연수구 청능대로113번길 11</t>
  </si>
  <si>
    <t>032-814-8778</t>
  </si>
  <si>
    <t>2012.10.30</t>
  </si>
  <si>
    <t>(주)청우아이비에이</t>
  </si>
  <si>
    <t>정우엽</t>
  </si>
  <si>
    <t>인천광역시 연수구 청명로17번길 24, 201호</t>
  </si>
  <si>
    <t>032-832-1888~9</t>
  </si>
  <si>
    <t>2021.05.11</t>
  </si>
  <si>
    <t>2025.02.06</t>
  </si>
  <si>
    <t>하수처리오니 등</t>
  </si>
  <si>
    <t>(주)성풍</t>
  </si>
  <si>
    <t>김종복</t>
  </si>
  <si>
    <t>인천광역시 연수구 청학로6번길 30, 203호</t>
  </si>
  <si>
    <t>032-822-4277</t>
  </si>
  <si>
    <t>2005.09.27</t>
  </si>
  <si>
    <t>주식회사 강한</t>
  </si>
  <si>
    <t>노종범</t>
  </si>
  <si>
    <t>인천광역시 연수구 한나루로 166, 2층</t>
  </si>
  <si>
    <t>건설폐토석 등</t>
  </si>
  <si>
    <t>032-858-7404</t>
  </si>
  <si>
    <t>2023.05.12</t>
  </si>
  <si>
    <t>2024.07.22</t>
  </si>
  <si>
    <t>참전유공자환경산업(주)</t>
  </si>
  <si>
    <t>김순희</t>
  </si>
  <si>
    <t>인천광역시 연수구 한나루로197번길 34</t>
  </si>
  <si>
    <t>032-834-5454</t>
  </si>
  <si>
    <t>2009.11.04</t>
  </si>
  <si>
    <t>㈜동원환경</t>
  </si>
  <si>
    <t>김성신</t>
  </si>
  <si>
    <t>인천광역시 연수구 함박뫼로4번길 17</t>
  </si>
  <si>
    <t>032-812-1613</t>
  </si>
  <si>
    <t>2008.01.21</t>
  </si>
  <si>
    <t>경인기업㈜</t>
  </si>
  <si>
    <t>남기신</t>
  </si>
  <si>
    <t>간석동210-1 스카이타운A 502호</t>
  </si>
  <si>
    <t>032-425-3111</t>
  </si>
  <si>
    <t>1996.06.30</t>
  </si>
  <si>
    <t>남동위생공사㈜</t>
  </si>
  <si>
    <t>간석동558-1,3층</t>
  </si>
  <si>
    <t>거성자원</t>
  </si>
  <si>
    <t>최재덕</t>
  </si>
  <si>
    <t>고잔동 177-1</t>
  </si>
  <si>
    <t>2023.10.10</t>
  </si>
  <si>
    <t>엘엠산업</t>
  </si>
  <si>
    <t>민인자</t>
  </si>
  <si>
    <t>고잔동 364-1</t>
  </si>
  <si>
    <t>㈜씨엔에스</t>
  </si>
  <si>
    <t>오용순</t>
  </si>
  <si>
    <t>고잔동 380번지</t>
  </si>
  <si>
    <t>032-446-0388</t>
  </si>
  <si>
    <t>2012.11.28</t>
  </si>
  <si>
    <t>㈜미래엔텍</t>
  </si>
  <si>
    <t>이종탁</t>
  </si>
  <si>
    <t>고잔동 388-6</t>
  </si>
  <si>
    <t>032-423-8272</t>
  </si>
  <si>
    <t>2009.07.10</t>
  </si>
  <si>
    <t>세종영어조합법인</t>
  </si>
  <si>
    <t>이춘옥</t>
  </si>
  <si>
    <t>고잔동 390-12</t>
  </si>
  <si>
    <t>033-631-1419</t>
  </si>
  <si>
    <t>2019.05.03</t>
  </si>
  <si>
    <t>㈜동하환경</t>
  </si>
  <si>
    <t>이정국</t>
  </si>
  <si>
    <t>고잔동 409</t>
  </si>
  <si>
    <t>032-442-2361</t>
  </si>
  <si>
    <t>대동자원</t>
  </si>
  <si>
    <t>심진우</t>
  </si>
  <si>
    <t>고잔동 512.2번지</t>
  </si>
  <si>
    <t>2023.02.23</t>
  </si>
  <si>
    <t>세종그린텍</t>
  </si>
  <si>
    <t>박경순</t>
  </si>
  <si>
    <t>고잔동 524-8</t>
  </si>
  <si>
    <t>032-446-6866</t>
  </si>
  <si>
    <t>2013.05.23</t>
  </si>
  <si>
    <t>가로수환경㈜</t>
  </si>
  <si>
    <t>김장규</t>
  </si>
  <si>
    <t>고잔동 630 공구상가 에이동 225호</t>
  </si>
  <si>
    <t>032-812-7987</t>
  </si>
  <si>
    <t>2003.03.19</t>
  </si>
  <si>
    <t>㈜지앤에스환경</t>
  </si>
  <si>
    <t>김금옥</t>
  </si>
  <si>
    <t>고잔동 630 비동 240호</t>
  </si>
  <si>
    <t>032-815-3187</t>
  </si>
  <si>
    <t>2007.02.13</t>
  </si>
  <si>
    <t>청운환경㈜</t>
  </si>
  <si>
    <t>이구호</t>
  </si>
  <si>
    <t>고잔동 630-1 공단산업용품상가 A/236</t>
  </si>
  <si>
    <t>032-811-6402</t>
  </si>
  <si>
    <t>2004.05.10</t>
  </si>
  <si>
    <t>㈜세명이앤지</t>
  </si>
  <si>
    <t>남승린 외1명</t>
  </si>
  <si>
    <t>고잔동 631 공구상가 디동 354호</t>
  </si>
  <si>
    <t>032-822-4182</t>
  </si>
  <si>
    <t>선대영</t>
  </si>
  <si>
    <t>고잔동630 산업용품상가B-306호</t>
  </si>
  <si>
    <t>032-218-3529</t>
  </si>
  <si>
    <t>2009.12.17</t>
  </si>
  <si>
    <t>남동에너지㈜</t>
  </si>
  <si>
    <t>배재현</t>
  </si>
  <si>
    <t>고잔동728-7(157-9)</t>
  </si>
  <si>
    <t>032-812-0871</t>
  </si>
  <si>
    <t>2002.10.25</t>
  </si>
  <si>
    <t>㈜처음처럼환경</t>
  </si>
  <si>
    <t>김대영</t>
  </si>
  <si>
    <t>고잔로 42, 1층</t>
  </si>
  <si>
    <t>명민산업㈜</t>
  </si>
  <si>
    <t>오현숙</t>
  </si>
  <si>
    <t>고잔로 47-1, 47-2, 고잔동 390-10</t>
  </si>
  <si>
    <t>032-433-2343</t>
  </si>
  <si>
    <t>2011.11.21</t>
  </si>
  <si>
    <t>㈜아이엠코퍼레이션</t>
  </si>
  <si>
    <t>이우용</t>
  </si>
  <si>
    <t>고잔로 51번길 32, 제2동(고잔동)</t>
  </si>
  <si>
    <t>032-716-9218</t>
  </si>
  <si>
    <t>건실업</t>
  </si>
  <si>
    <t>조유리</t>
  </si>
  <si>
    <t>고잔로 51번길6</t>
  </si>
  <si>
    <t>070-4226-8272</t>
  </si>
  <si>
    <t>윈윈메탈㈜(인천지점)</t>
  </si>
  <si>
    <t>강병창, 강일웅</t>
  </si>
  <si>
    <t>고잔로 58-20(고잔동)</t>
  </si>
  <si>
    <t>(주)씨엔에스</t>
  </si>
  <si>
    <t>고잔로 61(고잔동)</t>
  </si>
  <si>
    <t>㈜대국환경기업</t>
  </si>
  <si>
    <t>김현우</t>
  </si>
  <si>
    <t>고잔로 63-11, 가동  1층(고잔동)</t>
  </si>
  <si>
    <t>㈜용한</t>
  </si>
  <si>
    <t>이복연</t>
  </si>
  <si>
    <t>고잔로51번길 26</t>
  </si>
  <si>
    <t>032-441-5117</t>
  </si>
  <si>
    <t>㈜유진상사</t>
  </si>
  <si>
    <t>양원길</t>
  </si>
  <si>
    <t>032-446-5117</t>
  </si>
  <si>
    <t>2010.06.07</t>
  </si>
  <si>
    <t>㈜민성환경</t>
  </si>
  <si>
    <t>홍일표</t>
  </si>
  <si>
    <t>구월1동 1133-6 정윤빌딩304</t>
  </si>
  <si>
    <t>032-462-4100</t>
  </si>
  <si>
    <t>㈜인천남동구위생공사</t>
  </si>
  <si>
    <t>홍기표</t>
  </si>
  <si>
    <t>구월남로 75(구월동)</t>
  </si>
  <si>
    <t>032-429-2105</t>
  </si>
  <si>
    <t>시영환경</t>
  </si>
  <si>
    <t>김지현</t>
  </si>
  <si>
    <t>구월동 1142-17외 2필지 구월파티마오피스텔 제5층 523호</t>
  </si>
  <si>
    <t>2023.09.13</t>
  </si>
  <si>
    <t>이가환경</t>
  </si>
  <si>
    <t>예진년</t>
  </si>
  <si>
    <t>구월로 129, 5층</t>
  </si>
  <si>
    <t>032-818-7460</t>
  </si>
  <si>
    <t>2007.03.05</t>
  </si>
  <si>
    <t>(주)미래이엔디</t>
  </si>
  <si>
    <t>김호중</t>
  </si>
  <si>
    <t>구월로131번길 25</t>
  </si>
  <si>
    <t>070-8267-7848</t>
  </si>
  <si>
    <t>2014.10.31</t>
  </si>
  <si>
    <t>승한자원환경</t>
  </si>
  <si>
    <t>김이순</t>
  </si>
  <si>
    <t>남동대로 262번길 30-11</t>
  </si>
  <si>
    <t>032-816-5766</t>
  </si>
  <si>
    <t>2016.02.15</t>
  </si>
  <si>
    <t>㈜현대에코텍</t>
  </si>
  <si>
    <t>최동철, 이경선</t>
  </si>
  <si>
    <t>남동대로 262번길 30-43</t>
  </si>
  <si>
    <t>032-818-2295</t>
  </si>
  <si>
    <t>2012.03.29</t>
  </si>
  <si>
    <t>해찬환경</t>
  </si>
  <si>
    <t>박상현</t>
  </si>
  <si>
    <t>남동대로 903, 1층(간석동)</t>
  </si>
  <si>
    <t>032-422-3324</t>
  </si>
  <si>
    <t>2006.05.24</t>
  </si>
  <si>
    <t>㈜이지엔텍</t>
  </si>
  <si>
    <t>강민석</t>
  </si>
  <si>
    <t>남동대로 909, 312호 (간석동. 세연빌딩)</t>
  </si>
  <si>
    <t>2012.08.28</t>
  </si>
  <si>
    <t>신우환경</t>
  </si>
  <si>
    <t>최웅식</t>
  </si>
  <si>
    <t>남동대로 935, A동 1904호</t>
  </si>
  <si>
    <t>2015.07.08</t>
  </si>
  <si>
    <t>㈜이에스지</t>
  </si>
  <si>
    <t>윤종보</t>
  </si>
  <si>
    <t>남동대로215번길 12</t>
  </si>
  <si>
    <t>032-814-5081</t>
  </si>
  <si>
    <t>2013.11.22</t>
  </si>
  <si>
    <t>에스씨지그리드㈜</t>
  </si>
  <si>
    <t>이준기</t>
  </si>
  <si>
    <t>남동동로 33번길 28-22(고잔동)</t>
  </si>
  <si>
    <t>032-816-3383</t>
  </si>
  <si>
    <t>㈜양일엔프라</t>
  </si>
  <si>
    <t>장나교</t>
  </si>
  <si>
    <t>남동동로93번길 44</t>
  </si>
  <si>
    <t>032-812-2089</t>
  </si>
  <si>
    <t>대영스텐환경</t>
  </si>
  <si>
    <t>김보영</t>
  </si>
  <si>
    <t>남동서로 226</t>
  </si>
  <si>
    <t>2014.08.18</t>
  </si>
  <si>
    <t>사업장부존재</t>
  </si>
  <si>
    <t>하나리사이클링</t>
  </si>
  <si>
    <t>이경근</t>
  </si>
  <si>
    <t>남동서로 236번길 40</t>
  </si>
  <si>
    <t>032-815-0991</t>
  </si>
  <si>
    <t>진성</t>
  </si>
  <si>
    <t>김정호</t>
  </si>
  <si>
    <t>남촌동 560-8</t>
  </si>
  <si>
    <t>032-468-3767</t>
  </si>
  <si>
    <t>통화안됨</t>
  </si>
  <si>
    <t>㈜이알지서비스</t>
  </si>
  <si>
    <t>심연규</t>
  </si>
  <si>
    <t>남촌동622-10(남동공단 12블록 11로트))</t>
  </si>
  <si>
    <t>032-822-2961</t>
  </si>
  <si>
    <t>1998.09.17</t>
  </si>
  <si>
    <t>주식회사 케이알산업개발</t>
  </si>
  <si>
    <t>오원영</t>
  </si>
  <si>
    <t>남촌동로 17(남촌동)</t>
  </si>
  <si>
    <t>2023.06.15</t>
  </si>
  <si>
    <t>재우환경</t>
  </si>
  <si>
    <t>김찬훈</t>
  </si>
  <si>
    <t>남촌로108번길 5, 103호(남촌동, 대성상가)</t>
  </si>
  <si>
    <t>2024.06.05</t>
  </si>
  <si>
    <t>그린웨이㈜</t>
  </si>
  <si>
    <t>논고개로123번길 35,  칼리오페 701-5호(논현동)</t>
  </si>
  <si>
    <t>070-8691-2989</t>
  </si>
  <si>
    <t>(주)향우</t>
  </si>
  <si>
    <t>지향우</t>
  </si>
  <si>
    <t>논고개로123번길 35,  칼리오페 713-2호(논현동)</t>
  </si>
  <si>
    <t>032-812-7101</t>
  </si>
  <si>
    <t>2022.05.11</t>
  </si>
  <si>
    <t>에스지개발㈜</t>
  </si>
  <si>
    <t>윤석환</t>
  </si>
  <si>
    <t>논현고잔로 56</t>
  </si>
  <si>
    <t>032-421-0497</t>
  </si>
  <si>
    <t>2006.10.19</t>
  </si>
  <si>
    <t>2009.02.09</t>
  </si>
  <si>
    <t>㈜와이에이치물산</t>
  </si>
  <si>
    <t>오현미</t>
  </si>
  <si>
    <t>논현고잔로 56, ㈜와이에이치물산[고잔동, ㈜두성건설]</t>
  </si>
  <si>
    <t>2023.12.22</t>
  </si>
  <si>
    <t>㈜드림월드개발</t>
  </si>
  <si>
    <t>논현고잔로155번길 12(고잔동)</t>
  </si>
  <si>
    <t>032-467-0070</t>
  </si>
  <si>
    <t>1998.03.28</t>
  </si>
  <si>
    <t>㈜세종그린텍</t>
  </si>
  <si>
    <t>박경순, 조윤정</t>
  </si>
  <si>
    <t>논현고잔로54번길 12-2(고잔동)</t>
  </si>
  <si>
    <t>2024.06.03</t>
  </si>
  <si>
    <t>한단종합물류㈜</t>
  </si>
  <si>
    <t>한승진</t>
  </si>
  <si>
    <t>논현동 444-1 102호</t>
  </si>
  <si>
    <t>032-811-2607</t>
  </si>
  <si>
    <t>케이환경</t>
  </si>
  <si>
    <t>손민숙</t>
  </si>
  <si>
    <t>논현동450번지 2층207-1호</t>
  </si>
  <si>
    <t>032-577-4412</t>
  </si>
  <si>
    <t>2010.09.15</t>
  </si>
  <si>
    <t>경기바이오</t>
  </si>
  <si>
    <t>김채연</t>
  </si>
  <si>
    <t>논현로 46번길 51, 1618호(논현동)</t>
  </si>
  <si>
    <t>032-467-7537</t>
  </si>
  <si>
    <t>2016.09.01</t>
  </si>
  <si>
    <t>사업장연락불가</t>
  </si>
  <si>
    <t>정효중</t>
  </si>
  <si>
    <t>도림동 476-7</t>
  </si>
  <si>
    <t>2018.12.12</t>
  </si>
  <si>
    <t>청목상사</t>
  </si>
  <si>
    <t>양부성</t>
  </si>
  <si>
    <t>도림로 29(도림동) 1층 104호</t>
  </si>
  <si>
    <t>032-545-7077</t>
  </si>
  <si>
    <t>광성기업</t>
  </si>
  <si>
    <t>백성배,김원숙</t>
  </si>
  <si>
    <t>도림북로16번길 5-8(도림동)</t>
  </si>
  <si>
    <t>032-882-8895</t>
  </si>
  <si>
    <t>2018.12.13</t>
  </si>
  <si>
    <t>㈜미추홀환경</t>
  </si>
  <si>
    <t>최복만</t>
  </si>
  <si>
    <t>만수6동 1036 진흥@상가203호</t>
  </si>
  <si>
    <t>032-466-9551</t>
  </si>
  <si>
    <t>(주)제일지앤아이</t>
  </si>
  <si>
    <t>이정재</t>
  </si>
  <si>
    <t>만수동 1005, 702상가 206호</t>
  </si>
  <si>
    <t>032-467-6667</t>
  </si>
  <si>
    <t>2013.05.27</t>
  </si>
  <si>
    <t>경남주택관리㈜</t>
  </si>
  <si>
    <t>박종우</t>
  </si>
  <si>
    <t>만수동 1026-1</t>
  </si>
  <si>
    <t>대산금속</t>
  </si>
  <si>
    <t>강승호</t>
  </si>
  <si>
    <t>만수동 1086 창대장터상가 6동 105호</t>
  </si>
  <si>
    <t>032-812-2068</t>
  </si>
  <si>
    <t>2005.02.25</t>
  </si>
  <si>
    <t>DS환경</t>
  </si>
  <si>
    <t>김영훈</t>
  </si>
  <si>
    <t>만수로 75(만수동)</t>
  </si>
  <si>
    <t>디에스환경</t>
  </si>
  <si>
    <t>만수로 78 102, 103호</t>
  </si>
  <si>
    <t>032-466-9469</t>
  </si>
  <si>
    <t>2024.05.10</t>
  </si>
  <si>
    <t>박문우</t>
  </si>
  <si>
    <t>만수로 78, 102호</t>
  </si>
  <si>
    <t>032-469-1789</t>
  </si>
  <si>
    <t>2015.08.25</t>
  </si>
  <si>
    <t>세인환경</t>
  </si>
  <si>
    <t>김범오</t>
  </si>
  <si>
    <t>만수서로 3번길 17</t>
  </si>
  <si>
    <t>032-271-3131</t>
  </si>
  <si>
    <t>2016.08.30</t>
  </si>
  <si>
    <t>㈜일성제이에스</t>
  </si>
  <si>
    <t>김정국</t>
  </si>
  <si>
    <t>매소홀로 1135(서창동) 4층(서창동, 제이알빌딩)</t>
  </si>
  <si>
    <t>032-472-3207</t>
  </si>
  <si>
    <t>2011.01.24</t>
  </si>
  <si>
    <t>예담환경</t>
  </si>
  <si>
    <t>허 준</t>
  </si>
  <si>
    <t>문화서로 23번길 63, 102호</t>
  </si>
  <si>
    <t>032-822-9068</t>
  </si>
  <si>
    <t>에코R&amp;C</t>
  </si>
  <si>
    <t>한상국</t>
  </si>
  <si>
    <t>문화서로18번길 31, 2층(구월동, 성부빌딩)</t>
  </si>
  <si>
    <t>070-8226-4851</t>
  </si>
  <si>
    <t>2013.10.17</t>
  </si>
  <si>
    <t>㈜도담환경</t>
  </si>
  <si>
    <t>최준식</t>
  </si>
  <si>
    <t>미래로 13</t>
  </si>
  <si>
    <t>032-441-9905</t>
  </si>
  <si>
    <t>성일환경</t>
  </si>
  <si>
    <t>장성우 외 1인</t>
  </si>
  <si>
    <t>백범로 376, 9층 901호</t>
  </si>
  <si>
    <t>2024.03.18</t>
  </si>
  <si>
    <t>(주)한성토건</t>
  </si>
  <si>
    <t>백범로 404, 1214호(간석동, 도시에창)</t>
  </si>
  <si>
    <t>032-715-8359</t>
  </si>
  <si>
    <t>㈜태광개발</t>
  </si>
  <si>
    <t>이대남</t>
  </si>
  <si>
    <t>백범로 67, 상가동 501-1호(만수동)</t>
  </si>
  <si>
    <t>2023.12.14</t>
  </si>
  <si>
    <t>㈜태풍씨엠디</t>
  </si>
  <si>
    <t>인문철</t>
  </si>
  <si>
    <t>백범로 67, 상가동 501-4호(만수동)</t>
  </si>
  <si>
    <t>연학이앤씨</t>
  </si>
  <si>
    <t>신문재, 이기석</t>
  </si>
  <si>
    <t>백범로206번길 44</t>
  </si>
  <si>
    <t>032-463-6007</t>
  </si>
  <si>
    <t>2014.09.03</t>
  </si>
  <si>
    <t>경인환경</t>
  </si>
  <si>
    <t>정동훈</t>
  </si>
  <si>
    <t>백범로376, 901호(간석동, 도시타워)</t>
  </si>
  <si>
    <t>2019.04.03</t>
  </si>
  <si>
    <t>대한환경</t>
  </si>
  <si>
    <t>이건호</t>
  </si>
  <si>
    <t>복개동로38번길 47 지하2호(만수동)</t>
  </si>
  <si>
    <t>032-471-1601</t>
  </si>
  <si>
    <t>2015.01.26</t>
  </si>
  <si>
    <t>㈜정안건설산업</t>
  </si>
  <si>
    <t>비류대로 763, 업무동 401호(남촌동)</t>
  </si>
  <si>
    <t>2023.11.07</t>
  </si>
  <si>
    <t>대성ENC</t>
  </si>
  <si>
    <t>김우남</t>
  </si>
  <si>
    <t>서판로4번길 11, 가도오피스텔 302호(만수동)</t>
  </si>
  <si>
    <t>2018.08.23</t>
  </si>
  <si>
    <t>경인바이오</t>
  </si>
  <si>
    <t>한순희</t>
  </si>
  <si>
    <t>석정로 568, 2층 203호 [간석동, 신한빌딩)</t>
  </si>
  <si>
    <t>032-252-1339</t>
  </si>
  <si>
    <t>2018.02.07</t>
  </si>
  <si>
    <t>둥지영농조합법인</t>
  </si>
  <si>
    <t>김옥연</t>
  </si>
  <si>
    <t>선수촌공원로 23번길 11, 504호(구월동, 네이쳐프라자)</t>
  </si>
  <si>
    <t>2019.10.17</t>
  </si>
  <si>
    <t>(주)모아클린</t>
  </si>
  <si>
    <t>고상수</t>
  </si>
  <si>
    <t>선수촌공원로23번길 11, 5층 1호 (구월동)</t>
  </si>
  <si>
    <t>032-422-2305</t>
  </si>
  <si>
    <t>(주)강화환경</t>
  </si>
  <si>
    <t>황병희</t>
  </si>
  <si>
    <t>선수촌공원로23번길 11, 5층 2호 (구월동)</t>
  </si>
  <si>
    <t>조아자원환경</t>
  </si>
  <si>
    <t>강신기</t>
  </si>
  <si>
    <t>선수촌공원로23번길 11, 5층 3호 (구월동)</t>
  </si>
  <si>
    <t>2018.05.21</t>
  </si>
  <si>
    <t>송현환경</t>
  </si>
  <si>
    <t>최윤중,채효성</t>
  </si>
  <si>
    <t>선수촌공원로23번길 11, 7층 702-49</t>
  </si>
  <si>
    <t>정인환경</t>
  </si>
  <si>
    <t>조근재</t>
  </si>
  <si>
    <t>선수촌공원로23번길 11,502호
(구월동, 네이처프라자)</t>
  </si>
  <si>
    <t>2019.05.27</t>
  </si>
  <si>
    <t>푸르움환경</t>
  </si>
  <si>
    <t>윤득구</t>
  </si>
  <si>
    <t>소래로 669번길 30, 403호-2(만수동)</t>
  </si>
  <si>
    <t>032-463-1818</t>
  </si>
  <si>
    <t>대광</t>
  </si>
  <si>
    <t>소래로669번길 30  403호</t>
  </si>
  <si>
    <t>032-465-4382</t>
  </si>
  <si>
    <t>2012.06.14</t>
  </si>
  <si>
    <t>(주)베스트환경</t>
  </si>
  <si>
    <t>이지영</t>
  </si>
  <si>
    <t>소래역서로 30번길 18 제일타워 503-3호</t>
  </si>
  <si>
    <t>032-435-7289</t>
  </si>
  <si>
    <t>2019.11.13</t>
  </si>
  <si>
    <t>국제환경감시공사</t>
  </si>
  <si>
    <t>곽동훈</t>
  </si>
  <si>
    <t>소래역서로 30번길 18 제일타워 503-4호</t>
  </si>
  <si>
    <t>032-435-7290</t>
  </si>
  <si>
    <t>㈜이지피플</t>
  </si>
  <si>
    <t>지혜진</t>
  </si>
  <si>
    <t>아암대로 1223, 315호(고잔동, 성강지식산업센터)</t>
  </si>
  <si>
    <t>032-817-1580</t>
  </si>
  <si>
    <t>2023.02.02</t>
  </si>
  <si>
    <t>케이앤에스무역</t>
  </si>
  <si>
    <t>이병찬</t>
  </si>
  <si>
    <t>앵고개로 437</t>
  </si>
  <si>
    <t>032-813-9342</t>
  </si>
  <si>
    <t>2015.11.30</t>
  </si>
  <si>
    <t>태진개발(주)</t>
  </si>
  <si>
    <t>황순진</t>
  </si>
  <si>
    <t>앵고개로 712, 304호(고잔동)</t>
  </si>
  <si>
    <t>2019.08.05</t>
  </si>
  <si>
    <t>측천산업(주)</t>
  </si>
  <si>
    <t>앵고개로697번길 50, 3층(고잔동)</t>
  </si>
  <si>
    <t>032-430-6012</t>
  </si>
  <si>
    <t>대광이앤시</t>
  </si>
  <si>
    <t>이금란</t>
  </si>
  <si>
    <t>오봉동로 25, 1층</t>
  </si>
  <si>
    <t>032-464-6636</t>
  </si>
  <si>
    <t>2015.09.22</t>
  </si>
  <si>
    <t>㈜위아코리아 인천지점</t>
  </si>
  <si>
    <t>김광용</t>
  </si>
  <si>
    <t>오봉로 15, 1층(도림동)</t>
  </si>
  <si>
    <t>032-467-3303</t>
  </si>
  <si>
    <t>㈜청정</t>
  </si>
  <si>
    <t>장정아</t>
  </si>
  <si>
    <t>은청로 26-1, 3층</t>
  </si>
  <si>
    <t>2024.12.09</t>
  </si>
  <si>
    <t>세계환경</t>
  </si>
  <si>
    <t>임세혁</t>
  </si>
  <si>
    <t>은청로 4-19 제에이동 325호</t>
  </si>
  <si>
    <t>032-812-5495</t>
  </si>
  <si>
    <t>2013.03.24</t>
  </si>
  <si>
    <t>(주)가온엔텍</t>
  </si>
  <si>
    <t>최상준</t>
  </si>
  <si>
    <t>은청로 4-19, 에이동 238호</t>
  </si>
  <si>
    <t>032-716-9636</t>
  </si>
  <si>
    <t>2019.12.06</t>
  </si>
  <si>
    <t>㈜가온엔텍</t>
  </si>
  <si>
    <t>은청로 4-19, 제에이동 238호(고잔동, 남동공단산업용품상가)</t>
  </si>
  <si>
    <t>2023.08.30</t>
  </si>
  <si>
    <t>㈜경인개발산업</t>
  </si>
  <si>
    <t>우택하</t>
  </si>
  <si>
    <t>은청로 4-7 제에이동 제2층 245호</t>
  </si>
  <si>
    <t>032-467-5100</t>
  </si>
  <si>
    <t>2010.12.27</t>
  </si>
  <si>
    <t>㈜아주환경</t>
  </si>
  <si>
    <t>조유미</t>
  </si>
  <si>
    <t>은청로 4-7, B동 206호(고잔동)</t>
  </si>
  <si>
    <t>2024.07.10</t>
  </si>
  <si>
    <t>진솔엔비텍</t>
  </si>
  <si>
    <t>문제화</t>
  </si>
  <si>
    <t>은청로 4-7, 에이동 236호(고잔동, 남동공단산업용품상가)</t>
  </si>
  <si>
    <t>2018.04.16</t>
  </si>
  <si>
    <t>건영산업</t>
  </si>
  <si>
    <t>조상학</t>
  </si>
  <si>
    <t>음실서로 29(운연동)</t>
  </si>
  <si>
    <t>032-469-7762</t>
  </si>
  <si>
    <t>2017.09.20</t>
  </si>
  <si>
    <t>2014.05.14</t>
  </si>
  <si>
    <t>2017.08.08</t>
  </si>
  <si>
    <t>㈜에스쓰리알</t>
  </si>
  <si>
    <t>서종현</t>
  </si>
  <si>
    <t>음실서로66</t>
  </si>
  <si>
    <t>032-472-0062</t>
  </si>
  <si>
    <t>2014.12.04</t>
  </si>
  <si>
    <t>(주)에이스씨앤이</t>
  </si>
  <si>
    <t>인수북로 9-1</t>
  </si>
  <si>
    <t>032-472-5300</t>
  </si>
  <si>
    <t>2014.09.15</t>
  </si>
  <si>
    <t>미소환경</t>
  </si>
  <si>
    <t>이회중,박성환</t>
  </si>
  <si>
    <t>인주대로 557</t>
  </si>
  <si>
    <t>032-427-3396</t>
  </si>
  <si>
    <t>2016.07.04</t>
  </si>
  <si>
    <t>더좋은환경</t>
  </si>
  <si>
    <t>박경준</t>
  </si>
  <si>
    <t>인주대로 557, 4층(구월동)</t>
  </si>
  <si>
    <t>태성환경</t>
  </si>
  <si>
    <t>최영미</t>
  </si>
  <si>
    <t>인주대로 591번길 60, 4층(구월동)</t>
  </si>
  <si>
    <t>이앤에스</t>
  </si>
  <si>
    <t>김후성</t>
  </si>
  <si>
    <t>인주대로 857, 1층 2호</t>
  </si>
  <si>
    <t>032-213-3990</t>
  </si>
  <si>
    <t>2015.10.26</t>
  </si>
  <si>
    <t>좋은환경</t>
  </si>
  <si>
    <t>정재진</t>
  </si>
  <si>
    <t>인주대로 888번길 13, 1층 108호</t>
  </si>
  <si>
    <t>032-472-7225</t>
  </si>
  <si>
    <t>2016.04.06</t>
  </si>
  <si>
    <t>이례환경산업</t>
  </si>
  <si>
    <t>류승철</t>
  </si>
  <si>
    <t>인주대로 888번길 27, 1동 122호(만수동)</t>
  </si>
  <si>
    <t>032-426-8988</t>
  </si>
  <si>
    <t>2017.06.16</t>
  </si>
  <si>
    <t>진석산업</t>
  </si>
  <si>
    <t>한윤수</t>
  </si>
  <si>
    <t>인주대로857 104호(만수동)</t>
  </si>
  <si>
    <t>032-469-5159</t>
  </si>
  <si>
    <t>2013.05.30</t>
  </si>
  <si>
    <t>서진환경</t>
  </si>
  <si>
    <t>박경수</t>
  </si>
  <si>
    <t>인하로 507번길 23-1, 702호</t>
  </si>
  <si>
    <t>070-4223-0077</t>
  </si>
  <si>
    <t>2015.12.23</t>
  </si>
  <si>
    <t>믿음환경(주)</t>
  </si>
  <si>
    <t>김석근,김현근</t>
  </si>
  <si>
    <t>인하로 507번길 24, 4층</t>
  </si>
  <si>
    <t>032-435-7500</t>
  </si>
  <si>
    <t>2017.06.01</t>
  </si>
  <si>
    <t>청진건설(주)</t>
  </si>
  <si>
    <t>윤여홍</t>
  </si>
  <si>
    <t>인하로507번길 38, 2층</t>
  </si>
  <si>
    <t>032-431-2051</t>
  </si>
  <si>
    <t>2015.07.09</t>
  </si>
  <si>
    <t>㈜욱성산업</t>
  </si>
  <si>
    <t>박정배</t>
  </si>
  <si>
    <t>장수동 778-4 장환빌딩2층</t>
  </si>
  <si>
    <t>032-463-3155</t>
  </si>
  <si>
    <t>1997.10.30</t>
  </si>
  <si>
    <t>㈜정화</t>
  </si>
  <si>
    <t>이영호</t>
  </si>
  <si>
    <t>장아산로 134-3</t>
  </si>
  <si>
    <t>032-466-7972</t>
  </si>
  <si>
    <t>㈜인천리사이클링</t>
  </si>
  <si>
    <t>이기중</t>
  </si>
  <si>
    <t>청능대로 468번길 23</t>
  </si>
  <si>
    <t>032-446-2578</t>
  </si>
  <si>
    <t>종성산업</t>
  </si>
  <si>
    <t>종성열</t>
  </si>
  <si>
    <t>청능대로 478</t>
  </si>
  <si>
    <t>032-446-2353</t>
  </si>
  <si>
    <t>신호ENV</t>
  </si>
  <si>
    <t>최한석</t>
  </si>
  <si>
    <t>청능대로484번길 28-30(고잔동)</t>
  </si>
  <si>
    <t>032-441-1108</t>
  </si>
  <si>
    <t>도림환경㈜</t>
  </si>
  <si>
    <t>정관용</t>
  </si>
  <si>
    <t>포구로 45</t>
  </si>
  <si>
    <t>대형생활</t>
  </si>
  <si>
    <t>032-820-7318</t>
  </si>
  <si>
    <t>1996.01.31</t>
  </si>
  <si>
    <t>씨앤플라텍</t>
  </si>
  <si>
    <t>유정길</t>
  </si>
  <si>
    <t>하촌로 28-17</t>
  </si>
  <si>
    <t>031-287-8552</t>
  </si>
  <si>
    <t>삼호환경㈜</t>
  </si>
  <si>
    <t>이삼형</t>
  </si>
  <si>
    <t>하촌로 51번길3, 2층(만수동)</t>
  </si>
  <si>
    <t>032-467-0143</t>
  </si>
  <si>
    <t>2002.03.15</t>
  </si>
  <si>
    <t>성산환경</t>
  </si>
  <si>
    <t>정지홍</t>
  </si>
  <si>
    <t>하촌로 59번길 15</t>
  </si>
  <si>
    <t>032-461-9915</t>
  </si>
  <si>
    <t>2014.04.23</t>
  </si>
  <si>
    <t>경원리사이클</t>
  </si>
  <si>
    <t>신복순</t>
  </si>
  <si>
    <t>하촌서로 14-1, 1호</t>
  </si>
  <si>
    <t>032-446-7751</t>
  </si>
  <si>
    <t>2011.08.09</t>
  </si>
  <si>
    <t>032-429-8222</t>
  </si>
  <si>
    <t>2011.10.31</t>
  </si>
  <si>
    <t>은성산업</t>
  </si>
  <si>
    <t>서앵화</t>
  </si>
  <si>
    <t>하촌서로 14-1, 2호</t>
  </si>
  <si>
    <t>032-442-1070</t>
  </si>
  <si>
    <t>2011.05.20</t>
  </si>
  <si>
    <t>부흥알씨</t>
  </si>
  <si>
    <t>이정구</t>
  </si>
  <si>
    <t>하촌서로 14-1, 4호</t>
  </si>
  <si>
    <t>032-425-3388</t>
  </si>
  <si>
    <t>천명개발(주)</t>
  </si>
  <si>
    <t>전창운</t>
  </si>
  <si>
    <t>호구포로740번길 5-4, 1층 (구월동)</t>
  </si>
  <si>
    <t>2019.06.25</t>
  </si>
  <si>
    <t>인천자원</t>
  </si>
  <si>
    <t>이철승</t>
  </si>
  <si>
    <t>호구포로764번길 21-1(구월동)</t>
  </si>
  <si>
    <t>2019.08.09</t>
  </si>
  <si>
    <t>북구환경㈜</t>
  </si>
  <si>
    <t>김병준</t>
  </si>
  <si>
    <t>가좌로96번길 69</t>
  </si>
  <si>
    <t>032-583-2141</t>
  </si>
  <si>
    <t>1995.03.23</t>
  </si>
  <si>
    <t>㈜평화환경</t>
  </si>
  <si>
    <t>민병현,민종진</t>
  </si>
  <si>
    <t>마장로324번길 31</t>
  </si>
  <si>
    <t>032-526-3737</t>
  </si>
  <si>
    <t>한국그린환경㈜</t>
  </si>
  <si>
    <t>부평대로167번길 54</t>
  </si>
  <si>
    <t>032-521-7147</t>
  </si>
  <si>
    <t>2001.10.01</t>
  </si>
  <si>
    <t>부평환경㈜</t>
  </si>
  <si>
    <t>문정미</t>
  </si>
  <si>
    <t>부평북로 407</t>
  </si>
  <si>
    <t>032-547-1855</t>
  </si>
  <si>
    <t>부원산업㈜</t>
  </si>
  <si>
    <t>한영미</t>
  </si>
  <si>
    <t>부흥로 329</t>
  </si>
  <si>
    <t>032-521-7141</t>
  </si>
  <si>
    <t>(주)피에스환경</t>
  </si>
  <si>
    <t>이강락</t>
  </si>
  <si>
    <t>인천광역시 부평구 경원대로1043번길 13
(십정동)</t>
  </si>
  <si>
    <t>폐합성수지류, 폐합성고무류, 폐폴리우레탄폼류, 양식용폐부자, 플라스틱폐포장재, 그 밖의 폐합성고분자화합물, 임목폐목재, 폐가구류, 폐목재, 그 밖의 폐섬유 등</t>
  </si>
  <si>
    <t>2020.07.23</t>
  </si>
  <si>
    <t>피엠씨환경</t>
  </si>
  <si>
    <t>정필문</t>
  </si>
  <si>
    <t>인천광역시 부평구 대정로 66,
4층 408-156호 (부평동)</t>
  </si>
  <si>
    <t>폐합성수지류, 폐합성고무류, 폐폴리염화비닐수지류, 폐폴리우레탄폼류, 폐발포합성수지, 플라스틱폐포장재, 그 밖의 폐합성고분자화합물, 폐내화물, 폐도자기조각, 자동차 폐타이어, 그 밖의 폐타이어, 임목폐목재, 제재부산물, 목재가공공장 부산물, 목재가공공장 부산물, 목재가공공장 부산물, 폐가구류, 폐도장목, 폐목재포장재, 폐전선드럼, 폐가구류, 폐도장목, 폐목재포장재, 폐전선드럼, 폐가구류, 폐도장목, 폐목재포장재, 폐전선드럼, 폐천연섬유, 폐합성섬유, 폐의류, 그 밖의 폐섬유, 폐종이팩, 폐종이류, 폐벽지, 고철, 비철금속, 폐금속캔류, 폐금속용기류, 그 밖의 폐금속류, 폐유리, 폐유리병류, 폐타일, 폐판넬, 그 밖의 폐기물</t>
  </si>
  <si>
    <t>2021.06.08</t>
  </si>
  <si>
    <t>가은환경</t>
  </si>
  <si>
    <t>강민정</t>
  </si>
  <si>
    <t>인천광역시 부평구 대정로 66,
4층 408-454호 (부평동)</t>
  </si>
  <si>
    <t>폐합성수지류(폐염화비닐수지류는 제외한다),
폐합성고무류,
그 밖의 폐합성고분자화합물(합성수지류로 피복된 폐전선을 포함한다),
산업용폐전기전자제품,
목재가공공장 부산물(접착제, 페인트, 기름, 콘크리트 등의 물질이 사용된 목재부산물 및 분진을 말한다),
폐가구류, 페도장목, 폐목재포장재, 폐전선드럼(접착제, 페인트, 기름, 콘크리트 등의 물질이 사용된 목재를 말한다),
산업현장의 실외목재구조물에서 발생되는 폐목재, 폐선박 및 차량에서 나오는 목재, 건축물 화재현장에서 발생한 폐목재, 냉각탑, 산업용 바닥재 등에 사용된 폐목재,
폐합성섬유,
폐금속용기류(폐금속캔류는 제외한다)</t>
  </si>
  <si>
    <t>이도에코㈜</t>
  </si>
  <si>
    <t>이영관</t>
  </si>
  <si>
    <t>인천광역시 부평구 동수로 146,
402호 (부개동)</t>
  </si>
  <si>
    <t>사업장배출시설계(고체)폐기물</t>
  </si>
  <si>
    <t>032-504-9280</t>
  </si>
  <si>
    <t>폐합성수지류, 폐목재류</t>
  </si>
  <si>
    <t>2015.07.24</t>
  </si>
  <si>
    <t>일등환경</t>
  </si>
  <si>
    <t>송택민</t>
  </si>
  <si>
    <t>인천광역시 부평구 마장로 320, 208/209호 내 L54호(산곡동)</t>
  </si>
  <si>
    <t>폐합성수지류, 폐합성고무류, 폐폴리염화비닐수지류, 폐폴리우레탄폼류, 폐발포합성수지, 플라스틱폐포장재, 그 밖의 폐합성고분자화합물(합성수지류로 피복된 폐전선을 포함한다)
폐내화물, 폐도자기조각
자동차 폐타이어, 그 밖의 폐타이어
임목폐목재(건설공사, 산지개간 등의 과정에서 발생된 나무뿌리, 가지, 줄기 등), 제재부산물(원목 가공과정에서 발생되는 나무 껍질, 톱밥, 대패밥 등), 목재가공공장 부산물(원목상태의 깨끗한 목재부산물 및 분진), 목재가공공장 부산물(접착제, 페인트, 기름, 콘크리트 등의 물질이 사용된 목재부산물 및 분진), 목재가공공장 부산물(할로겐족 유기화합물 또는 방부제가 사용된 폐목재, 목재부산물 및 분진), 폐가구류, 폐도장목, 폐목재포장재, 폐전선드럼(원목상태의 깨끗한 목재), 폐가구류, 폐도장목, 폐목재포장재, 폐전선드럼(접착제, 페인트, 기름, 콘크리트 등의 물질이 사용된 목재), 폐가구류, 폐도장목, 폐목재포장재, 폐전선드럼(할로겐족 유기화합물 또는 방부제가 사용된 목재)
폐천연섬유, 폐합성섬유, 폐의류, 그 밖의 폐섬유
폐종이팩(「자원의 절약과 재활용촉진에 관한 법률 시행령」 제18조제1호에 해당하는 것), 폐종이류, 폐벽지
고철, 비철금속, 폐금속캔류(「자원의 절약과 재활용촉진에 관한 법률 시행령」 제18조제1호에 해당하는 것), 폐금속용기류(폐금속캔류는 제외), 그 밖의 폐금속류
폐유리, 폐유리병류(「자원의 절약과 재활용촉진에 관한 법률 시행령」 제18조제1호에 해당하는 것)
폐타일
폐판넬
그 밖의 폐기물</t>
  </si>
  <si>
    <t>2023.08.01</t>
  </si>
  <si>
    <t>박순임</t>
  </si>
  <si>
    <t>인천광역시 부평구 마장로 320, 2층 L48호(산곡동)</t>
  </si>
  <si>
    <t>2023.02.01</t>
  </si>
  <si>
    <t>녹색환경개발㈜</t>
  </si>
  <si>
    <t>강현후</t>
  </si>
  <si>
    <t>인천광역시 부평구 마장로269번길 65-2
(산곡동)</t>
  </si>
  <si>
    <t>032-502-3926</t>
  </si>
  <si>
    <t>2002.01.04</t>
  </si>
  <si>
    <t>푸른환경</t>
  </si>
  <si>
    <t>민승섭</t>
  </si>
  <si>
    <t>인천광역시 부평구 백범로 478,
3층 A5호 (십정동)</t>
  </si>
  <si>
    <t>폐합성수지류(폐염화비닐수지류는 제외한다), 폐합성고무류, 폐폴리염화비닐수지류, 폐발포합성수지, 그 밖의 폐합성고분자화합물(합성수지류로 피복된 폐전선을 포함한다), 가정용폐전기전자제품, 산업용폐전기전자제품, 그 밖의 폐전기전자제품류, 폐합성섬유, 폐의류, 폐종이팩(「자원의 절약과 재활용촉진에 관한 법률 시행령」 제18조제1호에 해당하는 것을 말한다), 폐종이류, 폐벽지, 고철, 비철금속, 폐금속캔류(「자원의 절약과 재활용촉진에 관한 법률 시행령」 제18조제1호에 해당하는 것을 말한다), 폐금속용기류(폐금속캔류는 제외한다), 그 밖의 폐금속류, 폐유리병류</t>
  </si>
  <si>
    <t>세강</t>
  </si>
  <si>
    <t>안철용</t>
  </si>
  <si>
    <t>인천광역시 부평구 백범로 488번길 19-1
(십정동)</t>
  </si>
  <si>
    <t>사업장배출시설계폐기물[폐목재류]</t>
  </si>
  <si>
    <t>032-571-0141</t>
  </si>
  <si>
    <t>2012.09.05</t>
  </si>
  <si>
    <t>㈜제이원산업개발</t>
  </si>
  <si>
    <t>김재환</t>
  </si>
  <si>
    <t>인천광역시 부평구 부평대로 283,
A동 B115-17호 (50호실)
(청천동,우림라이온스밸리)</t>
  </si>
  <si>
    <t>폐수처리오니, 정수처리오니, 하수처리오니, 하수준설토, 건설오니, 석재·골재폐수처리오니(석재·골재 생산 시 발생한 폐수를 처리하는 과정에서 발생한 오니로 한정한다), 그 밖의 공정오니, 그 밖의 무기성오니, 고로슬래그, 제강슬래그, 비철금속제련공정광재, 선광공정광재, 그 밖의 광재류, 제철공정분진, 시멘트제조공정분진, 발전시설분진, 그 밖의 분진, 점토점결폐주물사, 화학점결폐주물사, 샌드블라스트폐사, 폐여과사, 그 밖의 폐사, 생활폐기물 소각시설 비산재, 사업장폐기물 소각시설 비산재, 생활폐기물 소각시설 바닥재, 사업장폐기물 소각시설 바닥재, 생활폐기물 소각시설 소각재(바닥재와 비산재가 혼합된 경우를 말한다), 사업장폐기물 소각시설 소각재(바닥재와 비산재가 혼합된 경우를 말한다), 폐석고, 폐석회, 폐토사, 건설폐토석, 오염하천·오염해양 준설토, 그 밖의 폐금속류</t>
  </si>
  <si>
    <t>032-682-1277</t>
  </si>
  <si>
    <t>한강그린에코</t>
  </si>
  <si>
    <t>최병주</t>
  </si>
  <si>
    <t>인천광역시 부평구 부평대로 283, A-B115-17호(P3호실)</t>
  </si>
  <si>
    <t>폐합성수지류(폐염화비닐수지류는 제외), 폐합성고무류, 폐폴리염화비닐수지류, 폐폴리우레탄폼류, 폐발포합성수지, 플라스틱폐포장재, 그 밖의 폐합성고분자화합물(합성수지류로 피복된 폐전선을 포함),
제철공정분진, 시멘트제조공정분진, 발전시설분진,
폐실리카 퓸(규소철 제조과정에서 발생된 분진을 말한다), 그 밖의 분진
폐내화물, 폐도자기조각
자동차 폐타이어, 그 밖의 폐타이어
임목폐목재(건설공사, 산지개간 등의 과정에서 발생된 나무뿌리, 가지, 줄기 등), 제재부산물(원목 가공과정에서 발생되는 나무 껍질, 톱밥, 대패밥 등), 목재가공공장 부산물(원목상태의 깨끗한 목재부산물 및 분진), 폐가구류, 폐도장목, 폐목재포장재, 폐전선드럼, 건설현장 폐목재(원목상태의 깨끗한 목재), 접착제, 페인트, 기름, 콘크리트 등의 물질이 사용된 폐목재(목재부산물 및 분진을 포함), 할로겐족 유기화합물 또는 방부제가 사용된 폐목재(목재부산물 및 분진을 포함한다) 및 건설현장의 실외 목재구조물에서 발생되는 폐목재, 폐선박 및 차량에서 나오는 목재, 건축물 화재현장에서 발생한 페목재, 냉각탑, 산업용 바닥재 등에 사용된 폐목재, 폐철도목재받침목, 그 밖의 폐목재류
폐천연섬유, 폐합성섬유, 폐의류, 그 밖의 폐섬유
(51-28-01)폐종이팩(「자원의 절약과 재활용촉진에 관한 법률 시행령」 제18조제1호에 해당하는 것), (51-28-02)폐종이류, (51-28-03)폐벽지
(51-29-01)고철, (51-29-02)비철금속, (51-29-03)폐금속캔류(「자원의 절약과 재활용촉진에 관한 법률 시행령」 제18조제1호에 해당하는 것), (51-29-04)폐금속용기류(폐금속캔류는 제외), (51-29-99)그 밖의 폐금속류
(51-30-01)폐유리, (51-30-02)폐유리병류(「자원의 절약과 재활용촉진에 관한 법률 시행령」 제18조제1호에 해당하는 것)
(51-31-00)폐타일, (51-33-00)폐판넬, (51-99-00)그 밖의 폐기물</t>
  </si>
  <si>
    <t>㈜삼정환경</t>
  </si>
  <si>
    <t>박도현</t>
  </si>
  <si>
    <t>인천광역시 부평구 부평대로 283, 우림라이온스밸리 A동 B115-10호(17호실)
(청천동)</t>
  </si>
  <si>
    <t>음식물류폐기물, 폐합성수지류, 그 밖의 식물성잔재물, 그 밖의 폐기물</t>
  </si>
  <si>
    <t>032-327-3770</t>
  </si>
  <si>
    <t>2015.09.25</t>
  </si>
  <si>
    <t>케이원자원개발</t>
  </si>
  <si>
    <t>김명진</t>
  </si>
  <si>
    <t>인천광역시 부평구 부평대로 301,
722호 (청천동, 남광센트렉스)</t>
  </si>
  <si>
    <t>폐목재류, 폐합성수지, 폐전선, 폐금속류</t>
  </si>
  <si>
    <t>032-831-6005</t>
  </si>
  <si>
    <t>2016.07.19</t>
  </si>
  <si>
    <t>㈜조광환경</t>
  </si>
  <si>
    <t>임춘석</t>
  </si>
  <si>
    <t>인천광역시 부평구 안남로 423,
226호 (청천동)</t>
  </si>
  <si>
    <t>032-819-6722</t>
  </si>
  <si>
    <t>2005.06.08</t>
  </si>
  <si>
    <t>㈜한울기업</t>
  </si>
  <si>
    <t>인천광역시 부평구 안남로 434번길 23,
202호 (청천동)</t>
  </si>
  <si>
    <t>사업장배출시설계폐기물 (고상)</t>
  </si>
  <si>
    <t>032-543-3553</t>
  </si>
  <si>
    <t>우진산업건설㈜</t>
  </si>
  <si>
    <t>장석자</t>
  </si>
  <si>
    <t>인천광역시 부평구 안남로 440,
301호(청천동)</t>
  </si>
  <si>
    <t>폐수처리오니, 하수처리오니, 하수준설토, 폐합성수지류</t>
  </si>
  <si>
    <t>032-511-1951</t>
  </si>
  <si>
    <t>역동건설㈜</t>
  </si>
  <si>
    <t>안상현</t>
  </si>
  <si>
    <t>인천광역시 부평구 영성동로 46,
삼산농산물도매시장 내 과일동 301-2호
(삼산동)</t>
  </si>
  <si>
    <t>정수처리오니, 하수준설토, 그 밖의 공정오니(51-02-19), 그 밖의 무기성오니(51-02-99)</t>
  </si>
  <si>
    <t>032-330-1766</t>
  </si>
  <si>
    <t>2021.08.18</t>
  </si>
  <si>
    <t>대동건설산업</t>
  </si>
  <si>
    <t>안정열</t>
  </si>
  <si>
    <t>인천광역시 부평구 영성동로 46,
삼산농산물도매시장 내 과일동 402-4호
(삼산동)</t>
  </si>
  <si>
    <t>정수처리오니, 하수준설토, 그 밖의 공정오니, 그 밖의 무기성오니</t>
  </si>
  <si>
    <t>2021.06.25</t>
  </si>
  <si>
    <t>㈜세기환경</t>
  </si>
  <si>
    <t>김만용</t>
  </si>
  <si>
    <t>인천광역시 부평구 영성동로 46,
쓰레기처리장동 2층
(삼산동, 삼산농산물도매시장)</t>
  </si>
  <si>
    <t>폐합성수지류, 그 밖의 식물성잔재물, 그 밖의 폐기물, 폐가구류 폐도장목 폐목재포장재 폐전선드럼(원목상태의 깨끗한 목재)</t>
  </si>
  <si>
    <t>032-511-8272</t>
  </si>
  <si>
    <t>2021.01.19</t>
  </si>
  <si>
    <t>㈜서해엔비텍</t>
  </si>
  <si>
    <t>장수동</t>
  </si>
  <si>
    <t>인천광역시 부평구 육동로18번길 12-4,
5층(부평동)</t>
  </si>
  <si>
    <t>사업장배출시설계폐기물(폐합성수지 등)</t>
  </si>
  <si>
    <t>032-529-4007</t>
  </si>
  <si>
    <t>2005.10.21</t>
  </si>
  <si>
    <t>㈜에스더블_esr</t>
  </si>
  <si>
    <t>고한나루</t>
  </si>
  <si>
    <t>인천광역시 부평구 장제로 257번길 9-3, 403호 (갈산동)</t>
  </si>
  <si>
    <t>폐합성수지류,폐합성고무류, 폐폴리염화비닐수지류, 폐폴리우레탄폼류, 폐발포합성수지, 가정용폐전기전자제품, 산업용폐전기전자제품, 그 밖의 폐전기전자제품류, 폐가구류, 폐도장목, 폐목재포장재, 폐전선드럼(원목상태의 깨끗한 목재), 폐가구류, 폐도장목, 폐목재포장재, 폐전선드럼(접착제, 페인트, 기름, 콘크리트 등의 물질이 사용된 목재), 폐가구류, 폐도장목, 폐목재포장재, 폐전선드럼(할로겐족 유기화합물 또는 방부제가 사용된 목재), 그 밖의 폐목재류, 폐합성섬유, 폐의류, 그 밖의 폐섬유, 폐종이팩(「자원의 절약과 재활용촉진에 관한 법률 시행령」 제18조제1호에 해당하는 것), 폐종이류, 폐벽지,고철, 비철금속, 폐금속캔류(「자원의 절약과 재활용촉진에 관한 법률 시행령」 제18조제1호에 해당하는 것), 폐금속용기류(폐금속캔류는 제외), 그 밖의 폐금속류</t>
  </si>
  <si>
    <t>동국GS</t>
  </si>
  <si>
    <t>김철규</t>
  </si>
  <si>
    <t>인천광역시 부평구 충선로 9,
201호 (부평동, 이레빌딩)</t>
  </si>
  <si>
    <t>032-578-9613</t>
  </si>
  <si>
    <t>2005.03.29</t>
  </si>
  <si>
    <t>대한집게차</t>
  </si>
  <si>
    <t>김은환</t>
  </si>
  <si>
    <t>인천광역시 부평구 화랑북로11번길27 1층 101호</t>
  </si>
  <si>
    <t>건축현장폐목재, 폐받침목, 그밖의 폐목재류</t>
  </si>
  <si>
    <t>032-832-8872</t>
  </si>
  <si>
    <t>2023.03.17</t>
  </si>
  <si>
    <t>㈜미래환경</t>
  </si>
  <si>
    <t>신경철</t>
  </si>
  <si>
    <t>인천광역시 부평구 후정로 4,
302호(삼산동)</t>
  </si>
  <si>
    <t>사업장비(非)배출시설계
(음식물류폐기물)</t>
  </si>
  <si>
    <t>032-503-5888</t>
  </si>
  <si>
    <t>2014.08.06</t>
  </si>
  <si>
    <t>동일환경㈜</t>
  </si>
  <si>
    <t>허춘석</t>
  </si>
  <si>
    <t>일신로14번길 34</t>
  </si>
  <si>
    <t>032-514-6781</t>
  </si>
  <si>
    <t>1995.05.23</t>
  </si>
  <si>
    <t>㈜화원엔지니어링</t>
  </si>
  <si>
    <t>유광호</t>
  </si>
  <si>
    <t>경명대로 1058, 302-1203호 (계산동)</t>
  </si>
  <si>
    <t>2021.03.11</t>
  </si>
  <si>
    <t>2024.12.02</t>
  </si>
  <si>
    <t>성원환경㈜</t>
  </si>
  <si>
    <t>이문선</t>
  </si>
  <si>
    <t>경명대로 1119</t>
  </si>
  <si>
    <t>032-545-5103</t>
  </si>
  <si>
    <t>1994.04.11</t>
  </si>
  <si>
    <t>부광환경</t>
  </si>
  <si>
    <t>김락균</t>
  </si>
  <si>
    <t>계산새로 108, 402동 1002호</t>
  </si>
  <si>
    <t>조양인더스트리㈜</t>
  </si>
  <si>
    <t>장만성</t>
  </si>
  <si>
    <t>계산새로 71, 하이베라스 A동 1419호 (계산동)</t>
  </si>
  <si>
    <t>032-554-5872</t>
  </si>
  <si>
    <t>㈜보경이엠케이</t>
  </si>
  <si>
    <t>마정열</t>
  </si>
  <si>
    <t>계산새로 71, 하이베라스 D동 1205호</t>
  </si>
  <si>
    <t>032-221-0853</t>
  </si>
  <si>
    <t>주식회사 펫토피아</t>
  </si>
  <si>
    <t>이다슬</t>
  </si>
  <si>
    <t>계양문화로 48, 811-1호 (계산동)</t>
  </si>
  <si>
    <t>2020.02.13</t>
  </si>
  <si>
    <t>은혜환경</t>
  </si>
  <si>
    <t>오은일외1명</t>
  </si>
  <si>
    <t>계양문화로 48, 902호 (계산동)</t>
  </si>
  <si>
    <t>2020.05.01</t>
  </si>
  <si>
    <t>㈜제이케이스틸</t>
  </si>
  <si>
    <t>정욱재</t>
  </si>
  <si>
    <t>계양문화로 48, 뉴월드프라자 902-38호 (계산동)</t>
  </si>
  <si>
    <t>032-569-4427</t>
  </si>
  <si>
    <t>2016.08.12</t>
  </si>
  <si>
    <t>강남자원</t>
  </si>
  <si>
    <t>차성근</t>
  </si>
  <si>
    <t>계양문화로 54, 대산월드프라자 10층 133호 (계산동)</t>
  </si>
  <si>
    <t>032-555-7157</t>
  </si>
  <si>
    <t>2018.09.19</t>
  </si>
  <si>
    <t>제일환경산업</t>
  </si>
  <si>
    <t>이인행</t>
  </si>
  <si>
    <t>계양문화로 54, 대산월드프라자 10층 61-1호 (계산동)</t>
  </si>
  <si>
    <t>우성환경개발㈜</t>
  </si>
  <si>
    <t>정재호</t>
  </si>
  <si>
    <t>계양문화로 54, 대산월드프라자 505호(계산동)</t>
  </si>
  <si>
    <t>032-547-2230</t>
  </si>
  <si>
    <t>㈜용종특수운수</t>
  </si>
  <si>
    <t>연옥란</t>
  </si>
  <si>
    <t>계양문화로 86</t>
  </si>
  <si>
    <t>032-543-2381</t>
  </si>
  <si>
    <t>2016.09.28</t>
  </si>
  <si>
    <t>㈜우인종합물류</t>
  </si>
  <si>
    <t>이만구</t>
  </si>
  <si>
    <t>씨티에스(CTS) ECHO</t>
  </si>
  <si>
    <t>강장용</t>
  </si>
  <si>
    <t>계양문화로 90, 504-B호</t>
  </si>
  <si>
    <t>2023.04.04</t>
  </si>
  <si>
    <t>친절환경</t>
  </si>
  <si>
    <t>전진권</t>
  </si>
  <si>
    <t>길마로11번길 6, 1층 (효성동)</t>
  </si>
  <si>
    <t>2018.04.04</t>
  </si>
  <si>
    <t>대호환경자원</t>
  </si>
  <si>
    <t>문춘식</t>
  </si>
  <si>
    <t>동양로 11, 102동 503호</t>
  </si>
  <si>
    <t>032-512-8256</t>
  </si>
  <si>
    <t>2015.01.29</t>
  </si>
  <si>
    <t>한도환경</t>
  </si>
  <si>
    <t>문병열</t>
  </si>
  <si>
    <t>봉오대로 463번길 장수빌라 3동 B02호</t>
  </si>
  <si>
    <t>032-424-1675</t>
  </si>
  <si>
    <t>㈜주일도시개발</t>
  </si>
  <si>
    <t>양미숙</t>
  </si>
  <si>
    <t>서운로 43-15, 1층 (서운동)</t>
  </si>
  <si>
    <t>032-543-6400</t>
  </si>
  <si>
    <t>2003.03.24</t>
  </si>
  <si>
    <t>인성환경㈜</t>
  </si>
  <si>
    <t>함현미</t>
  </si>
  <si>
    <t>서운산업로 47번길 8(서운동)</t>
  </si>
  <si>
    <t>032-555-6255</t>
  </si>
  <si>
    <t>2021.04.28</t>
  </si>
  <si>
    <t>㈜휴먼랜드</t>
  </si>
  <si>
    <t>이복병</t>
  </si>
  <si>
    <t>선주로 48-18, 1층 (선주지동)</t>
  </si>
  <si>
    <t>032-503-3366</t>
  </si>
  <si>
    <t>2019.07.26</t>
  </si>
  <si>
    <t>영부환경㈜</t>
  </si>
  <si>
    <t>송영철</t>
  </si>
  <si>
    <t>아나지로 148</t>
  </si>
  <si>
    <t>032-551-8367</t>
  </si>
  <si>
    <t>계양환경㈜</t>
  </si>
  <si>
    <t>아나지로 566</t>
  </si>
  <si>
    <t>032-542-0962</t>
  </si>
  <si>
    <t>동부환경개발㈜</t>
  </si>
  <si>
    <t>신동윤</t>
  </si>
  <si>
    <t>아나지로 575 (서운동)</t>
  </si>
  <si>
    <t>032-553-2255</t>
  </si>
  <si>
    <t>2002.03.08</t>
  </si>
  <si>
    <t>명성유지</t>
  </si>
  <si>
    <t>김명호</t>
  </si>
  <si>
    <t>아나지로 577 (서운동)</t>
  </si>
  <si>
    <t>02-2683-1684</t>
  </si>
  <si>
    <t>2010.11.01</t>
  </si>
  <si>
    <t>㈜구룡산업</t>
  </si>
  <si>
    <t>이효순</t>
  </si>
  <si>
    <t>아나지로247번길 11, 모닝프라자 105호 (효성동)</t>
  </si>
  <si>
    <t>032-556-1980</t>
  </si>
  <si>
    <t>㈜오성자원</t>
  </si>
  <si>
    <t>안영만</t>
  </si>
  <si>
    <t>아나지로438번길 16 (작전동)</t>
  </si>
  <si>
    <t>032-551-0787</t>
  </si>
  <si>
    <t>2000.12.09</t>
  </si>
  <si>
    <t>이룸</t>
  </si>
  <si>
    <t>임선옥</t>
  </si>
  <si>
    <t>안남로573번길 18, 상가동 116호 (효성동)</t>
  </si>
  <si>
    <t>032-547-2753</t>
  </si>
  <si>
    <t>2012.08.08</t>
  </si>
  <si>
    <t>㈜에코라인산업</t>
  </si>
  <si>
    <t>이길자</t>
  </si>
  <si>
    <t>오조산로57번길 15, 명동빌딩 747호 (계산동)</t>
  </si>
  <si>
    <t>070-7896-8911</t>
  </si>
  <si>
    <t>2016.12.12</t>
  </si>
  <si>
    <t>예일환경</t>
  </si>
  <si>
    <t>강민선</t>
  </si>
  <si>
    <t>이화북로 41 (이화동)</t>
  </si>
  <si>
    <t>2016.02.04</t>
  </si>
  <si>
    <t>대림환경개발</t>
  </si>
  <si>
    <t>임태훈</t>
  </si>
  <si>
    <t>장기로14번길 9-1, 원욱그린타운 2동 402호 (장기동)</t>
  </si>
  <si>
    <t>2022.07.06</t>
  </si>
  <si>
    <t>(주)다모아환경</t>
  </si>
  <si>
    <t>권영조</t>
  </si>
  <si>
    <t>장기로9번길 7, 6층</t>
  </si>
  <si>
    <t>2003.12.04</t>
  </si>
  <si>
    <t>주식회사 제이케이물류</t>
  </si>
  <si>
    <t>조성환</t>
  </si>
  <si>
    <t>장제로743번길 2, 상가동 지하115호 (작전동)</t>
  </si>
  <si>
    <t>산호환경</t>
  </si>
  <si>
    <t>하재석</t>
  </si>
  <si>
    <t>장제로920번길 33 (병방동)</t>
  </si>
  <si>
    <t>032-546-9349</t>
  </si>
  <si>
    <t>2016.01.22</t>
  </si>
  <si>
    <t>2024.12.12</t>
  </si>
  <si>
    <t>계양부일환경㈜</t>
  </si>
  <si>
    <t>한재현, 한은희</t>
  </si>
  <si>
    <t>장제로927번길 15</t>
  </si>
  <si>
    <t>032-555-9339</t>
  </si>
  <si>
    <t>㈜수재환경</t>
  </si>
  <si>
    <t>이한우</t>
  </si>
  <si>
    <t>주부토로 467, 4층 404호 (작전동)</t>
  </si>
  <si>
    <t>032-259-2599</t>
  </si>
  <si>
    <t>더위드건설 주식회사</t>
  </si>
  <si>
    <t>길미옥</t>
  </si>
  <si>
    <t>황어로 133, 오름채 301호</t>
  </si>
  <si>
    <t>032-548-3355</t>
  </si>
  <si>
    <t>2023.11.16</t>
  </si>
  <si>
    <t>고인돌</t>
  </si>
  <si>
    <t>김도윤</t>
  </si>
  <si>
    <t>황어로115번길 12, 신동아아파트 12동 903호 (오류동)</t>
  </si>
  <si>
    <t>운도유지</t>
  </si>
  <si>
    <t>황어로115번길 13, 101동 101호 (장기동)</t>
  </si>
  <si>
    <t>2021.04.01</t>
  </si>
  <si>
    <t>블루환경</t>
  </si>
  <si>
    <t>장기철</t>
  </si>
  <si>
    <t>가람로 14, 요진코아텍 227호(오류동)</t>
  </si>
  <si>
    <t>㈜금광개발</t>
  </si>
  <si>
    <t>박덕면</t>
  </si>
  <si>
    <t>가석로156번길 50(가좌동)</t>
  </si>
  <si>
    <t>032-567-7567</t>
  </si>
  <si>
    <t>2014.03.06</t>
  </si>
  <si>
    <t>덕인자원</t>
  </si>
  <si>
    <t>노덕경</t>
  </si>
  <si>
    <t>가정로293번길 12, 지하1층(석남동)</t>
  </si>
  <si>
    <t>㈜인천기계</t>
  </si>
  <si>
    <t>안양원</t>
  </si>
  <si>
    <t>거북로 119번길 20, 102호 (석남동)</t>
  </si>
  <si>
    <t>사업장배출계</t>
  </si>
  <si>
    <t>032-858-9197</t>
  </si>
  <si>
    <t>2022.11.10</t>
  </si>
  <si>
    <t>선진철재</t>
  </si>
  <si>
    <t>김용년</t>
  </si>
  <si>
    <t>거북로 18, 1층(석남동)</t>
  </si>
  <si>
    <t>형제자원</t>
  </si>
  <si>
    <t>서종연</t>
  </si>
  <si>
    <t>거북로 20(석남동)</t>
  </si>
  <si>
    <t>032-584-7207</t>
  </si>
  <si>
    <t>2014.07.17</t>
  </si>
  <si>
    <t>염승재</t>
  </si>
  <si>
    <t>거북로17, 나동 318호 (석남동)</t>
  </si>
  <si>
    <t>㈜제이에코텍</t>
  </si>
  <si>
    <t>장동욱</t>
  </si>
  <si>
    <t>거북로24번길 16(석남동)</t>
  </si>
  <si>
    <t>032-577-0675</t>
  </si>
  <si>
    <t>2018.02.22</t>
  </si>
  <si>
    <t>2017.09.19</t>
  </si>
  <si>
    <t>태광전자</t>
  </si>
  <si>
    <t>김종식</t>
  </si>
  <si>
    <t>거북로24번길 18 (석남동)</t>
  </si>
  <si>
    <t>032-584-0881</t>
  </si>
  <si>
    <t>인우자원</t>
  </si>
  <si>
    <t>이종부</t>
  </si>
  <si>
    <t>건지로 158(가좌동)</t>
  </si>
  <si>
    <t>032-203-8009</t>
  </si>
  <si>
    <t>2016.08.09</t>
  </si>
  <si>
    <t>우주자원㈜</t>
  </si>
  <si>
    <t>이선미</t>
  </si>
  <si>
    <t>건지로 346(가좌동)</t>
  </si>
  <si>
    <t>032-575-3090</t>
  </si>
  <si>
    <t>2014.04.11</t>
  </si>
  <si>
    <t>삼우산업㈜</t>
  </si>
  <si>
    <t>김용배</t>
  </si>
  <si>
    <t>건지로 86번길 37-1 비동 2층</t>
  </si>
  <si>
    <t>032-561-4400</t>
  </si>
  <si>
    <t>1993.03.17</t>
  </si>
  <si>
    <t>코스트</t>
  </si>
  <si>
    <t>윤현수</t>
  </si>
  <si>
    <t>건지로97번길34-4(석남동) 2층</t>
  </si>
  <si>
    <t>032-581-2664</t>
  </si>
  <si>
    <t>우리산업</t>
  </si>
  <si>
    <t>정종성</t>
  </si>
  <si>
    <t>검단로 516(마전동)</t>
  </si>
  <si>
    <t>032-567-0033</t>
  </si>
  <si>
    <t>2012.07.27</t>
  </si>
  <si>
    <t>청성환경㈜</t>
  </si>
  <si>
    <t>김병립</t>
  </si>
  <si>
    <t>032-567-8988</t>
  </si>
  <si>
    <t>2013.05.20</t>
  </si>
  <si>
    <t>㈜에스케이씨철강</t>
  </si>
  <si>
    <t>황두선</t>
  </si>
  <si>
    <t>검단로 516, 308호(마전동)</t>
  </si>
  <si>
    <t>승인환경㈜</t>
  </si>
  <si>
    <t>우성제</t>
  </si>
  <si>
    <t>검단로 516, 506호(마전동, 보현빌딩)</t>
  </si>
  <si>
    <t>032-566-8385</t>
  </si>
  <si>
    <t>이성균</t>
  </si>
  <si>
    <t>검단로 623번길7, 2층(마전동 한중프라자)</t>
  </si>
  <si>
    <t>올바른환경</t>
  </si>
  <si>
    <t>이한백</t>
  </si>
  <si>
    <t>검단로 784, 퀸스타운길훈아파트상가 306호(불로동)</t>
  </si>
  <si>
    <t>032-562-8788</t>
  </si>
  <si>
    <t>2023.02.22</t>
  </si>
  <si>
    <t>㈜알쓰리텍</t>
  </si>
  <si>
    <t>검단로487번길 48(마전동)</t>
  </si>
  <si>
    <t>032-569-0529</t>
  </si>
  <si>
    <t>㈜서구환경</t>
  </si>
  <si>
    <t>신유란</t>
  </si>
  <si>
    <t>검단로529번길21, 3층(마전동)</t>
  </si>
  <si>
    <t>2019.04.15</t>
  </si>
  <si>
    <t>금강산업</t>
  </si>
  <si>
    <t>오상현</t>
  </si>
  <si>
    <t>검단로768번길 10 ,503호(불로동, 창서프라자)</t>
  </si>
  <si>
    <t>032-563-8434</t>
  </si>
  <si>
    <t>2011.05.25</t>
  </si>
  <si>
    <t>㈜아이케이</t>
  </si>
  <si>
    <t>검단천로 151(오류동)</t>
  </si>
  <si>
    <t>032-563-3114 
032-565-7114</t>
  </si>
  <si>
    <t>2005.08.11</t>
  </si>
  <si>
    <t>유창테크</t>
  </si>
  <si>
    <t>오인석</t>
  </si>
  <si>
    <t>검단천로 153(오류동)</t>
  </si>
  <si>
    <t>032-566-1703</t>
  </si>
  <si>
    <t>2013.11.29</t>
  </si>
  <si>
    <t>별환경</t>
  </si>
  <si>
    <t>이겸호</t>
  </si>
  <si>
    <t>경명대로706번길 4-6(공촌동)</t>
  </si>
  <si>
    <t>2023.10.31</t>
  </si>
  <si>
    <t>비앤지산업</t>
  </si>
  <si>
    <t>이성재</t>
  </si>
  <si>
    <t>고산후로 95번길 18, 105호(당하동, 리빙프라자)</t>
  </si>
  <si>
    <t>이솔산업개발㈜</t>
  </si>
  <si>
    <t>김권남</t>
  </si>
  <si>
    <t>고산후로 97, 4층 403호</t>
  </si>
  <si>
    <t>대신자원개발</t>
  </si>
  <si>
    <t>김형창</t>
  </si>
  <si>
    <t>금산로 9(경서동, 자원순환특화산업단지)</t>
  </si>
  <si>
    <t>아라한이앤지㈜ 인천지점</t>
  </si>
  <si>
    <t>윤락현</t>
  </si>
  <si>
    <t>금산로7번길19, 2층(경서동)</t>
  </si>
  <si>
    <t>032-588-0884</t>
  </si>
  <si>
    <t>2020.12.11</t>
  </si>
  <si>
    <t>㈜엠에이치엘코리아</t>
  </si>
  <si>
    <t>임철영</t>
  </si>
  <si>
    <t>길무로 171(오류동)</t>
  </si>
  <si>
    <t>032-561-0681</t>
  </si>
  <si>
    <t>2023.08.10</t>
  </si>
  <si>
    <t>경인그린텍㈜</t>
  </si>
  <si>
    <t>길무로 232-13(오류동)</t>
  </si>
  <si>
    <t>032-566-2007</t>
  </si>
  <si>
    <t>2020.12.28</t>
  </si>
  <si>
    <t>선우산업개발㈜</t>
  </si>
  <si>
    <t>양철호</t>
  </si>
  <si>
    <t>길무로171, 2층 (오류동)</t>
  </si>
  <si>
    <t>032-569-5061</t>
  </si>
  <si>
    <t>대진상사</t>
  </si>
  <si>
    <t>김진혁</t>
  </si>
  <si>
    <t>길무로177번길 25 (오류동)</t>
  </si>
  <si>
    <t>032-564-0454</t>
  </si>
  <si>
    <t>은행나무 성원자원</t>
  </si>
  <si>
    <t>정연호, 고혜미</t>
  </si>
  <si>
    <t>길주로 79, 801-8469호 (석남동)</t>
  </si>
  <si>
    <t>에스케이 리사이클링</t>
  </si>
  <si>
    <t>서덕윤</t>
  </si>
  <si>
    <t>길주로 79, 801-8542호 (석남동)</t>
  </si>
  <si>
    <t>2022.06.24</t>
  </si>
  <si>
    <t>㈜미래이앤씨</t>
  </si>
  <si>
    <t>노인식</t>
  </si>
  <si>
    <t>길주로 79, 8379호 (석남동)</t>
  </si>
  <si>
    <t>㈜기륭환경</t>
  </si>
  <si>
    <t>이주원</t>
  </si>
  <si>
    <t>단봉로 148, 203호(오류동)</t>
  </si>
  <si>
    <t>032-812-8939</t>
  </si>
  <si>
    <t>2023.06.08</t>
  </si>
  <si>
    <t>미리내환경</t>
  </si>
  <si>
    <t>이병관</t>
  </si>
  <si>
    <t>대촌로25번길 12, 202호(오류동, 솔리데오)</t>
  </si>
  <si>
    <t>2022.01.10</t>
  </si>
  <si>
    <t>디에이팩토리(DA Factory)</t>
  </si>
  <si>
    <t>조아라</t>
  </si>
  <si>
    <t>대평로 63-1, 206호(심곡동)</t>
  </si>
  <si>
    <t>2023.12.04</t>
  </si>
  <si>
    <t>357</t>
  </si>
  <si>
    <t>㈜디에스리싸이클링</t>
  </si>
  <si>
    <t>고희미</t>
  </si>
  <si>
    <t>도담6로11, 가동</t>
  </si>
  <si>
    <t>032-564-3611</t>
  </si>
  <si>
    <t>2022.04.05</t>
  </si>
  <si>
    <t>358</t>
  </si>
  <si>
    <t>㈜우리이에프피</t>
  </si>
  <si>
    <t>김혁원</t>
  </si>
  <si>
    <t>두루물로 34(오류동)</t>
  </si>
  <si>
    <t>032-586-8495</t>
  </si>
  <si>
    <t>2021.03.23</t>
  </si>
  <si>
    <t>359</t>
  </si>
  <si>
    <t>㈜동양엔텍</t>
  </si>
  <si>
    <t>강위석</t>
  </si>
  <si>
    <t>두루물로 78번길 52(오류동)</t>
  </si>
  <si>
    <t>032-567-0777</t>
  </si>
  <si>
    <t>2011.04.05</t>
  </si>
  <si>
    <t>360</t>
  </si>
  <si>
    <t>㈜가달이엔티</t>
  </si>
  <si>
    <t>김미애</t>
  </si>
  <si>
    <t>두루물로 96번길 18(오류동)</t>
  </si>
  <si>
    <t>032-582-8855</t>
  </si>
  <si>
    <t>2014.05.13</t>
  </si>
  <si>
    <t>361</t>
  </si>
  <si>
    <t>㈜대건산업개발</t>
  </si>
  <si>
    <t>홍순선</t>
  </si>
  <si>
    <t>두루물로 96번길1(오류동 434-220)2층</t>
  </si>
  <si>
    <t>032-563-5738</t>
  </si>
  <si>
    <t>362</t>
  </si>
  <si>
    <t>㈜아산메탈</t>
  </si>
  <si>
    <t>이성자</t>
  </si>
  <si>
    <t>두루물로96번길 18,가동(오류동)</t>
  </si>
  <si>
    <t>363</t>
  </si>
  <si>
    <t>㈜이도</t>
  </si>
  <si>
    <t>최정훈</t>
  </si>
  <si>
    <t>드림로 172(백석동)</t>
  </si>
  <si>
    <t>032-563-0186</t>
  </si>
  <si>
    <t>364</t>
  </si>
  <si>
    <t>㈜이도(Yido co., Ltd.)</t>
  </si>
  <si>
    <t>드림로 174, 2층 (백석동)</t>
  </si>
  <si>
    <t>032-567-0181</t>
  </si>
  <si>
    <t>2022.09.07</t>
  </si>
  <si>
    <t>365</t>
  </si>
  <si>
    <t>㈜이오니아이엔티(인천공장)</t>
  </si>
  <si>
    <t>김건수</t>
  </si>
  <si>
    <t>마중2로 14(오류동)</t>
  </si>
  <si>
    <t>032-563-5705</t>
  </si>
  <si>
    <t>2013.10.25</t>
  </si>
  <si>
    <t>366</t>
  </si>
  <si>
    <t>스카이상사</t>
  </si>
  <si>
    <t>김동욱</t>
  </si>
  <si>
    <t>마중3로 34(오류동)</t>
  </si>
  <si>
    <t>032-564-8478</t>
  </si>
  <si>
    <t>2011.12.16</t>
  </si>
  <si>
    <t>367</t>
  </si>
  <si>
    <t>㈜청아환경</t>
  </si>
  <si>
    <t>최진우</t>
  </si>
  <si>
    <t>보도진로 35, 3층 3호(가좌동)</t>
  </si>
  <si>
    <t>032-574-0649</t>
  </si>
  <si>
    <t>2021.10.19</t>
  </si>
  <si>
    <t>368</t>
  </si>
  <si>
    <t>굿모닝환경</t>
  </si>
  <si>
    <t>김영재, 김현호</t>
  </si>
  <si>
    <t>보도진로 40, 3층(가좌동)</t>
  </si>
  <si>
    <t>032-217-1011</t>
  </si>
  <si>
    <t>2019.12.05</t>
  </si>
  <si>
    <t>369</t>
  </si>
  <si>
    <t>(주)단원환경</t>
  </si>
  <si>
    <t>이운수</t>
  </si>
  <si>
    <t>보듬6로 36, 202호(오류동, 토성드페리움)</t>
  </si>
  <si>
    <t>032-561-1886</t>
  </si>
  <si>
    <t>2013.02.22</t>
  </si>
  <si>
    <t>370</t>
  </si>
  <si>
    <t>㈜단원환경</t>
  </si>
  <si>
    <t>371</t>
  </si>
  <si>
    <t>㈜미래리싸이클링</t>
  </si>
  <si>
    <t>이경옥</t>
  </si>
  <si>
    <t>봉수대로 1234-8(왕길동 23-3번지)</t>
  </si>
  <si>
    <t>032-576-8076</t>
  </si>
  <si>
    <t>372</t>
  </si>
  <si>
    <t>으뜸리사이클링</t>
  </si>
  <si>
    <t>이으뜸</t>
  </si>
  <si>
    <t>봉수대로 1242(왕길동), 302호</t>
  </si>
  <si>
    <t>373</t>
  </si>
  <si>
    <t>드림이앤아이(E&amp;I)</t>
  </si>
  <si>
    <t>이성하</t>
  </si>
  <si>
    <t>봉수대로 1344-20(왕길동)</t>
  </si>
  <si>
    <t>032-563-2316</t>
  </si>
  <si>
    <t>374</t>
  </si>
  <si>
    <t>㈜부천리사이클링</t>
  </si>
  <si>
    <t>길정효</t>
  </si>
  <si>
    <t>봉수대로 1394번길 32, 가동 (왕길동)</t>
  </si>
  <si>
    <t>032-567-2933</t>
  </si>
  <si>
    <t>2022.08.12</t>
  </si>
  <si>
    <t>375</t>
  </si>
  <si>
    <t>㈜부천유리 서인천지점</t>
  </si>
  <si>
    <t>봉수대로 1394번길 32, 나동 (왕길동)</t>
  </si>
  <si>
    <t>031-981-1538</t>
  </si>
  <si>
    <t>2021.09.17</t>
  </si>
  <si>
    <t>376</t>
  </si>
  <si>
    <t>㈜원광에스앤티</t>
  </si>
  <si>
    <t>이상헌</t>
  </si>
  <si>
    <t>봉수대로 183번길 12-1(가좌동)</t>
  </si>
  <si>
    <t>032-715-5885</t>
  </si>
  <si>
    <t>2020.03.31</t>
  </si>
  <si>
    <t>377</t>
  </si>
  <si>
    <t>나우엔텍</t>
  </si>
  <si>
    <t>장향순</t>
  </si>
  <si>
    <t>봉수대로 269(석남동)</t>
  </si>
  <si>
    <t>032-575-9705</t>
  </si>
  <si>
    <t>2007.05.08</t>
  </si>
  <si>
    <t>378</t>
  </si>
  <si>
    <t>동인자원㈜</t>
  </si>
  <si>
    <t>김동범</t>
  </si>
  <si>
    <t>봉수대로277번길 18(석남동)</t>
  </si>
  <si>
    <t>032-581-7791</t>
  </si>
  <si>
    <t>2011.10.18</t>
  </si>
  <si>
    <t>379</t>
  </si>
  <si>
    <t>(주)천우벌크</t>
  </si>
  <si>
    <t>권영수</t>
  </si>
  <si>
    <t>봉수대로501번길 51(원창동)</t>
  </si>
  <si>
    <t>032-883-3806</t>
  </si>
  <si>
    <t>2013.05.21</t>
  </si>
  <si>
    <t>380</t>
  </si>
  <si>
    <t>흥국통운㈜</t>
  </si>
  <si>
    <t>이동욱</t>
  </si>
  <si>
    <t>032-581-9911</t>
  </si>
  <si>
    <t>2010.12.28</t>
  </si>
  <si>
    <t>381</t>
  </si>
  <si>
    <t>(주)동하실업</t>
  </si>
  <si>
    <t>박학규</t>
  </si>
  <si>
    <t>북항로31번길 45,202호(석남동,라온프라자)</t>
  </si>
  <si>
    <t>032-571-2171</t>
  </si>
  <si>
    <t>1993.08.10</t>
  </si>
  <si>
    <t>2010.10.20</t>
  </si>
  <si>
    <t>382</t>
  </si>
  <si>
    <t>㈜수인시너지(SuIn Synergy Co.,Ltd.)</t>
  </si>
  <si>
    <t>최주연</t>
  </si>
  <si>
    <t>북항로32번안길 8, 402호(원창동, 북항프라자)</t>
  </si>
  <si>
    <t>032-713-9364</t>
  </si>
  <si>
    <t>2022.07.08</t>
  </si>
  <si>
    <t>383</t>
  </si>
  <si>
    <t>㈜영보산업</t>
  </si>
  <si>
    <t>변경수</t>
  </si>
  <si>
    <t>북항로32번안길 8, 4층 401-1호(401호 일부)</t>
  </si>
  <si>
    <t>032-572-3220</t>
  </si>
  <si>
    <t>384</t>
  </si>
  <si>
    <t>리뉴에너지경인(주)</t>
  </si>
  <si>
    <t>채희준</t>
  </si>
  <si>
    <t>사렴로65번길 24(경서동)</t>
  </si>
  <si>
    <t>032-567-2929</t>
  </si>
  <si>
    <t>1995.08.14</t>
  </si>
  <si>
    <t>385</t>
  </si>
  <si>
    <t>영석개발</t>
  </si>
  <si>
    <t>김영아</t>
  </si>
  <si>
    <t>사월로37번길 19(왕길동)</t>
  </si>
  <si>
    <t>2023.11.27</t>
  </si>
  <si>
    <t>386</t>
  </si>
  <si>
    <t>㈜유앤</t>
  </si>
  <si>
    <t>김경섭</t>
  </si>
  <si>
    <t>서곶로 341, 4층 404호(연희동,정우빌딩)</t>
  </si>
  <si>
    <t>032-568-8371</t>
  </si>
  <si>
    <t>2019.01.31</t>
  </si>
  <si>
    <t>387</t>
  </si>
  <si>
    <t>㈜에코텍</t>
  </si>
  <si>
    <t>최선민</t>
  </si>
  <si>
    <t>서구 가정로 123, 4층 402-5호 (가좌동, 명성프라자)</t>
  </si>
  <si>
    <t>388</t>
  </si>
  <si>
    <t>광진자원</t>
  </si>
  <si>
    <t>호산나, 오정석</t>
  </si>
  <si>
    <t>서구 가정로87번길 11(가좌동)</t>
  </si>
  <si>
    <t>2024.08.23</t>
  </si>
  <si>
    <t>389</t>
  </si>
  <si>
    <t>청정자원</t>
  </si>
  <si>
    <t>오명섭</t>
  </si>
  <si>
    <t>서구 건지로 81, 5동 (석남동)</t>
  </si>
  <si>
    <t>2024.02.06</t>
  </si>
  <si>
    <t>390</t>
  </si>
  <si>
    <t>이화산업</t>
  </si>
  <si>
    <t>이기화</t>
  </si>
  <si>
    <t>서구 건지로153번길 4, 나동 1층 8호(석남동)</t>
  </si>
  <si>
    <t>391</t>
  </si>
  <si>
    <t>㈜영보로지스</t>
  </si>
  <si>
    <t>김진석</t>
  </si>
  <si>
    <t>서구 검단로623번안길 2, 202-1호</t>
  </si>
  <si>
    <t>032-568-5668</t>
  </si>
  <si>
    <t>392</t>
  </si>
  <si>
    <t>노대영</t>
  </si>
  <si>
    <t>서구 길주로 79, 8층 8728호(석남동)</t>
  </si>
  <si>
    <t>050-4223-9898</t>
  </si>
  <si>
    <t>393</t>
  </si>
  <si>
    <t>수정에스디</t>
  </si>
  <si>
    <t>정재환</t>
  </si>
  <si>
    <t>서구 길주로45번길 15(석남동)</t>
  </si>
  <si>
    <t>394</t>
  </si>
  <si>
    <t>㈜씨아이에코솔루션</t>
  </si>
  <si>
    <t>조일호, 윤현표</t>
  </si>
  <si>
    <t>서구 두루물로48번길 19(오류동)</t>
  </si>
  <si>
    <t>032-564-2681</t>
  </si>
  <si>
    <t>2024.07.30</t>
  </si>
  <si>
    <t>395</t>
  </si>
  <si>
    <t>㈜대국자원</t>
  </si>
  <si>
    <t>석병윤</t>
  </si>
  <si>
    <t>서구 두루물로48번길 26(오류동)</t>
  </si>
  <si>
    <t>032-564-077</t>
  </si>
  <si>
    <t>396</t>
  </si>
  <si>
    <t>서구 두루물로78번길 3(오류동)</t>
  </si>
  <si>
    <t>397</t>
  </si>
  <si>
    <t>㈜성도산업개발</t>
  </si>
  <si>
    <t>호신엽</t>
  </si>
  <si>
    <t>서구 승학로 556, 301호 중 일부 304호(검암동)</t>
  </si>
  <si>
    <t>032-569-6904</t>
  </si>
  <si>
    <t>398</t>
  </si>
  <si>
    <t>대양스틸산업</t>
  </si>
  <si>
    <t>원종진</t>
  </si>
  <si>
    <t>서구 완정로 153, 8층 823호(왕길동)</t>
  </si>
  <si>
    <t>031-984-4754</t>
  </si>
  <si>
    <t>2024.11.22</t>
  </si>
  <si>
    <t>399</t>
  </si>
  <si>
    <t>㈜이슬컴퍼니</t>
  </si>
  <si>
    <t>정봉우</t>
  </si>
  <si>
    <t>서구 완정로 154, 비동310호(마전동, 듀클래스)</t>
  </si>
  <si>
    <t>400</t>
  </si>
  <si>
    <t>보령산업</t>
  </si>
  <si>
    <t>김국진</t>
  </si>
  <si>
    <t>서구 완정로 179, 6층 601-15호(왕길동)</t>
  </si>
  <si>
    <t>2024.09.19</t>
  </si>
  <si>
    <t>401</t>
  </si>
  <si>
    <t>에이스상사</t>
  </si>
  <si>
    <t>배미선</t>
  </si>
  <si>
    <t>서구 완정로 179, 6층 601-17호(왕길동)</t>
  </si>
  <si>
    <t>2024.10.31</t>
  </si>
  <si>
    <t>402</t>
  </si>
  <si>
    <t>㈜한얼환경산업</t>
  </si>
  <si>
    <t>장봉순</t>
  </si>
  <si>
    <t>서구 완정로65번안길 40 가동(마전동)</t>
  </si>
  <si>
    <t>032-288-5425</t>
  </si>
  <si>
    <t>403</t>
  </si>
  <si>
    <t>그린이엔텍㈜</t>
  </si>
  <si>
    <t>홍창우, 양은명</t>
  </si>
  <si>
    <t>서구 원당대로 246번길 20(오류동)</t>
  </si>
  <si>
    <t>032-568-2118</t>
  </si>
  <si>
    <t>2024.01.02</t>
  </si>
  <si>
    <t>404</t>
  </si>
  <si>
    <t>㈜리사이클한강</t>
  </si>
  <si>
    <t>박몽룡</t>
  </si>
  <si>
    <t>서구 원당대로 331-14(왕길동)</t>
  </si>
  <si>
    <t>032-563-6755</t>
  </si>
  <si>
    <t>2017.10.25</t>
  </si>
  <si>
    <t>405</t>
  </si>
  <si>
    <t>세기이엠케이㈜</t>
  </si>
  <si>
    <t>안재혁</t>
  </si>
  <si>
    <t>서구 원당대로428번길 7-1, 1동 104호(왕길동)</t>
  </si>
  <si>
    <t>406</t>
  </si>
  <si>
    <t>서구 원당대로507번길 84-10(왕길동 186, 186-5)</t>
  </si>
  <si>
    <t>407</t>
  </si>
  <si>
    <t>㈜영주자원</t>
  </si>
  <si>
    <t>유승무</t>
  </si>
  <si>
    <t>서구 중봉대로 146</t>
  </si>
  <si>
    <t>2024.04.15</t>
  </si>
  <si>
    <t>408</t>
  </si>
  <si>
    <t>㈜신성제이앤씨</t>
  </si>
  <si>
    <t>최헌수</t>
  </si>
  <si>
    <t>서구 중봉대로 168 (가좌동)</t>
  </si>
  <si>
    <t>032-579-5566</t>
  </si>
  <si>
    <t>2014.01.09</t>
  </si>
  <si>
    <t>409</t>
  </si>
  <si>
    <t>㈜케이제이로지스</t>
  </si>
  <si>
    <t>최수근</t>
  </si>
  <si>
    <t>서구 청라커낼로 264 두손중앙프라자 1007호</t>
  </si>
  <si>
    <t>서구-&gt;경제청
경제청 청라관리과(원수진032-453-7642)</t>
  </si>
  <si>
    <t>410</t>
  </si>
  <si>
    <t>한가람자원</t>
  </si>
  <si>
    <t>원미영</t>
  </si>
  <si>
    <t>서구 청라커낼로 288번길 10, 청라더스페이스타워 409-10호(청라동)</t>
  </si>
  <si>
    <t>411</t>
  </si>
  <si>
    <t>주성엔프라</t>
  </si>
  <si>
    <t>정선진</t>
  </si>
  <si>
    <t>서구 청라커낼로 288번길 10, 청라더스페이스타워 409-9</t>
  </si>
  <si>
    <t>2022.10.17</t>
  </si>
  <si>
    <t>412</t>
  </si>
  <si>
    <t>㈜대호환경물류</t>
  </si>
  <si>
    <t>황여진</t>
  </si>
  <si>
    <t>서구 청라한내로 72번길 13, B동 1704호</t>
  </si>
  <si>
    <t>032-562-8384</t>
  </si>
  <si>
    <t>413</t>
  </si>
  <si>
    <t>정금로지스틱㈜</t>
  </si>
  <si>
    <t>송민국</t>
  </si>
  <si>
    <t>서구 크리스탈로 94, 제3층 308호</t>
  </si>
  <si>
    <t>032-569-2323</t>
  </si>
  <si>
    <t>2024.12.06</t>
  </si>
  <si>
    <t>414</t>
  </si>
  <si>
    <t>(주)광진비철금속</t>
  </si>
  <si>
    <t>신현보</t>
  </si>
  <si>
    <t>서구 한서로 84-1
(백석동)</t>
  </si>
  <si>
    <t>032-832-5946</t>
  </si>
  <si>
    <t>2014.02.25</t>
  </si>
  <si>
    <t>415</t>
  </si>
  <si>
    <t>부성자원</t>
  </si>
  <si>
    <t>박장희</t>
  </si>
  <si>
    <t>승학로 587, 1층 104호(검암동, 로얄프라자)</t>
  </si>
  <si>
    <t>032-563-9021</t>
  </si>
  <si>
    <t>2013.01.31</t>
  </si>
  <si>
    <t>416</t>
  </si>
  <si>
    <t>솔로몬산업</t>
  </si>
  <si>
    <t>곽진현</t>
  </si>
  <si>
    <t>승학로197번길 6(심곡동)</t>
  </si>
  <si>
    <t>032-566-7577</t>
  </si>
  <si>
    <t>2014.04.18</t>
  </si>
  <si>
    <t>417</t>
  </si>
  <si>
    <t>애창희자원</t>
  </si>
  <si>
    <t>김종철</t>
  </si>
  <si>
    <t>승학로372번길 1(나동, 104호)</t>
  </si>
  <si>
    <t>2016.01.08</t>
  </si>
  <si>
    <t>418</t>
  </si>
  <si>
    <t>에스제이㈜</t>
  </si>
  <si>
    <t>임정순</t>
  </si>
  <si>
    <t>심곡로 32, 3층 (심곡동)</t>
  </si>
  <si>
    <t>032-568-9134</t>
  </si>
  <si>
    <t>2021.11.26</t>
  </si>
  <si>
    <t>419</t>
  </si>
  <si>
    <t>충북자원</t>
  </si>
  <si>
    <t>양승배</t>
  </si>
  <si>
    <t>여우재로86번길 27,1층(가좌동)</t>
  </si>
  <si>
    <t>2024.12.19</t>
  </si>
  <si>
    <t>420</t>
  </si>
  <si>
    <t>기원재활용</t>
  </si>
  <si>
    <t>강기원</t>
  </si>
  <si>
    <t>연희동 687-4, 3층 3호</t>
  </si>
  <si>
    <t>421</t>
  </si>
  <si>
    <t>㈜티에이치와이환경</t>
  </si>
  <si>
    <t>성태중</t>
  </si>
  <si>
    <t>완정로 144, 704-3호(마전동, 프라임타워)</t>
  </si>
  <si>
    <t>422</t>
  </si>
  <si>
    <t>㈜채훈환경</t>
  </si>
  <si>
    <t>김순정</t>
  </si>
  <si>
    <t>완정로 144, 901-929호(마전동, 프라임타워)</t>
  </si>
  <si>
    <t>2018.11.28</t>
  </si>
  <si>
    <t>423</t>
  </si>
  <si>
    <t>로뎀산업</t>
  </si>
  <si>
    <t>노성환</t>
  </si>
  <si>
    <t>완정로 146,302호(마전동, 리더스빌 오피스텔)</t>
  </si>
  <si>
    <t>2016.03.25</t>
  </si>
  <si>
    <t>424</t>
  </si>
  <si>
    <t>(주)유성엔텍</t>
  </si>
  <si>
    <t>최지성</t>
  </si>
  <si>
    <t>완정로 158, 755호 (마전동)</t>
  </si>
  <si>
    <t>032-582-6811</t>
  </si>
  <si>
    <t>2003.02.24</t>
  </si>
  <si>
    <t>425</t>
  </si>
  <si>
    <t>㈜유성엔텍</t>
  </si>
  <si>
    <t>032-561-6812</t>
  </si>
  <si>
    <t>426</t>
  </si>
  <si>
    <t>디에이치산업환경</t>
  </si>
  <si>
    <t>이동민</t>
  </si>
  <si>
    <t>완정로 158, 762호(마전동, 중앙빌딩)</t>
  </si>
  <si>
    <t>2020.10.06</t>
  </si>
  <si>
    <t>427</t>
  </si>
  <si>
    <t>㈜케이엔산업개발</t>
  </si>
  <si>
    <t>남정애</t>
  </si>
  <si>
    <t>완정로 158, 7층 731호(마전동, 중앙빌딩)</t>
  </si>
  <si>
    <t>2023.10.13</t>
  </si>
  <si>
    <t>428</t>
  </si>
  <si>
    <t>대한스틸</t>
  </si>
  <si>
    <t>정민준</t>
  </si>
  <si>
    <t>완정로 158, 7층 788호(마전동, 중앙빌딩)</t>
  </si>
  <si>
    <t>429</t>
  </si>
  <si>
    <t>㈜태흥이엔씨(지점)</t>
  </si>
  <si>
    <t>이지현</t>
  </si>
  <si>
    <t>완정로 158,701-747호(마전동979-16,중앙빌딩)</t>
  </si>
  <si>
    <t>032-566-7187</t>
  </si>
  <si>
    <t>430</t>
  </si>
  <si>
    <t>㈜삼진환경개발</t>
  </si>
  <si>
    <t>길오수</t>
  </si>
  <si>
    <t>완정로 159, 504-518호(왕길동, 장수프라자)</t>
  </si>
  <si>
    <t>032-569-2362</t>
  </si>
  <si>
    <t>2021.11.12</t>
  </si>
  <si>
    <t>431</t>
  </si>
  <si>
    <t>금파메탈환경</t>
  </si>
  <si>
    <t>천민수</t>
  </si>
  <si>
    <t>완정로 163, 1005호 (왕길동)</t>
  </si>
  <si>
    <t>2022.06.15</t>
  </si>
  <si>
    <t>432</t>
  </si>
  <si>
    <t>뉴스타환경</t>
  </si>
  <si>
    <t>김유진</t>
  </si>
  <si>
    <t>완정로 179, 601-434호 (왕길동)</t>
  </si>
  <si>
    <t>2022.09.02</t>
  </si>
  <si>
    <t>433</t>
  </si>
  <si>
    <t>최윤수</t>
  </si>
  <si>
    <t>완정로 179, 6층, 601-96호(왕길동, 제이원검단메디컬프라자)</t>
  </si>
  <si>
    <t>2023.09.19</t>
  </si>
  <si>
    <t>남동구로 이관</t>
  </si>
  <si>
    <t>434</t>
  </si>
  <si>
    <t>까치환경㈜인천점</t>
  </si>
  <si>
    <t>허은</t>
  </si>
  <si>
    <t>완정로 190, 4층 429호(마전동, 으뜸빌딩)</t>
  </si>
  <si>
    <t>031-997-9437</t>
  </si>
  <si>
    <t>2021.03.26</t>
  </si>
  <si>
    <t>435</t>
  </si>
  <si>
    <t>원올에코</t>
  </si>
  <si>
    <t>구자운</t>
  </si>
  <si>
    <t>완정로158, 771호(마전동, 인비즈)</t>
  </si>
  <si>
    <t>032-569-1945</t>
  </si>
  <si>
    <t>2019.10.04</t>
  </si>
  <si>
    <t>436</t>
  </si>
  <si>
    <t>㈜부성환경</t>
  </si>
  <si>
    <t>박성배</t>
  </si>
  <si>
    <t>왕길동 64-101, 1동</t>
  </si>
  <si>
    <t>032-568-1009</t>
  </si>
  <si>
    <t>2000.10.25</t>
  </si>
  <si>
    <t>437</t>
  </si>
  <si>
    <t>㈜진열자원</t>
  </si>
  <si>
    <t>이영애</t>
  </si>
  <si>
    <t>용두산로13번길 12, 상가동 102호(심곡동)</t>
  </si>
  <si>
    <t>2023.09.11</t>
  </si>
  <si>
    <t>438</t>
  </si>
  <si>
    <t>그린에코넥서스(주) 인천2사업소</t>
  </si>
  <si>
    <t>도홍기</t>
  </si>
  <si>
    <t>원당대로 265번길 20-43(오류동)</t>
  </si>
  <si>
    <t>032-566-0322</t>
  </si>
  <si>
    <t>2013.06.04</t>
  </si>
  <si>
    <t>439</t>
  </si>
  <si>
    <t>검단환경㈜</t>
  </si>
  <si>
    <t>한영석</t>
  </si>
  <si>
    <t>원당대로 269번길 7-1(오류동)</t>
  </si>
  <si>
    <t>032-562-7152</t>
  </si>
  <si>
    <t>1995.04.19</t>
  </si>
  <si>
    <t>440</t>
  </si>
  <si>
    <t>㈜명우산업</t>
  </si>
  <si>
    <t>이상길</t>
  </si>
  <si>
    <t>원당대로 301번길 2, 204호(왕길동, 안동포프라자)</t>
  </si>
  <si>
    <t>032-549-0202</t>
  </si>
  <si>
    <t>2016.03.11</t>
  </si>
  <si>
    <t>441</t>
  </si>
  <si>
    <t>㈜오성</t>
  </si>
  <si>
    <t>박명희</t>
  </si>
  <si>
    <t>원당대로 676, 802-1호(당하동, 제일아이조움)</t>
  </si>
  <si>
    <t>2021.11.03</t>
  </si>
  <si>
    <t>442</t>
  </si>
  <si>
    <t>(주)삼미재생산업</t>
  </si>
  <si>
    <t>송영훈</t>
  </si>
  <si>
    <t>원당대로 840번길 5, 3층 303호(당하동, 장원프라자)</t>
  </si>
  <si>
    <t>032-264-0075</t>
  </si>
  <si>
    <t>2016.03.14</t>
  </si>
  <si>
    <t>443</t>
  </si>
  <si>
    <t>세원임산</t>
  </si>
  <si>
    <t>손용기</t>
  </si>
  <si>
    <t>원당대로206번길 30(오류동)</t>
  </si>
  <si>
    <t>032-566-3573</t>
  </si>
  <si>
    <t>444</t>
  </si>
  <si>
    <t>(주)새움</t>
  </si>
  <si>
    <t>박인자</t>
  </si>
  <si>
    <t>원당대로480번길 10(왕길동)</t>
  </si>
  <si>
    <t>032-561-4222</t>
  </si>
  <si>
    <t>2001.12.12</t>
  </si>
  <si>
    <t>445</t>
  </si>
  <si>
    <t>㈜삼아금속</t>
  </si>
  <si>
    <t>김경선</t>
  </si>
  <si>
    <t>원당대로507번길 84-10(왕길동)</t>
  </si>
  <si>
    <t>032-562-2748</t>
  </si>
  <si>
    <t>2023.06.21</t>
  </si>
  <si>
    <t>446</t>
  </si>
  <si>
    <t>그린에너지개발㈜</t>
  </si>
  <si>
    <t>손원백</t>
  </si>
  <si>
    <t>자원순환로 356번길 3</t>
  </si>
  <si>
    <t>032-564-3400</t>
  </si>
  <si>
    <t>447</t>
  </si>
  <si>
    <t>㈜경인펄프</t>
  </si>
  <si>
    <t>변두한</t>
  </si>
  <si>
    <t>장고개로117번길 38(가좌동)</t>
  </si>
  <si>
    <t>032-577-2525</t>
  </si>
  <si>
    <t>2011.05.31</t>
  </si>
  <si>
    <t>448</t>
  </si>
  <si>
    <t>경인상사</t>
  </si>
  <si>
    <t>이창래</t>
  </si>
  <si>
    <t>032-578-4431</t>
  </si>
  <si>
    <t>449</t>
  </si>
  <si>
    <t>경인환경㈜</t>
  </si>
  <si>
    <t>중봉대로 306번길 6</t>
  </si>
  <si>
    <t>035-571-0851</t>
  </si>
  <si>
    <t>450</t>
  </si>
  <si>
    <t>정맥산업</t>
  </si>
  <si>
    <t>김장수</t>
  </si>
  <si>
    <t>중봉대로 759 (경서동)</t>
  </si>
  <si>
    <t>032-582-7221</t>
  </si>
  <si>
    <t>451</t>
  </si>
  <si>
    <t>현대알엔티</t>
  </si>
  <si>
    <t>박종철</t>
  </si>
  <si>
    <t>중봉대로 785, 나동(경서동)</t>
  </si>
  <si>
    <t>032-773-9001</t>
  </si>
  <si>
    <t>2024.10.11</t>
  </si>
  <si>
    <t>452</t>
  </si>
  <si>
    <t>오성특수㈜</t>
  </si>
  <si>
    <t>정경일</t>
  </si>
  <si>
    <t>중봉대로393번길 36(원창동)</t>
  </si>
  <si>
    <t>032-572-2300</t>
  </si>
  <si>
    <t>2011.11.03</t>
  </si>
  <si>
    <t>453</t>
  </si>
  <si>
    <t>신광특수㈜</t>
  </si>
  <si>
    <t>정덕식</t>
  </si>
  <si>
    <t>중봉대로393번길 36, 2층(원창동)</t>
  </si>
  <si>
    <t>032-572-2301</t>
  </si>
  <si>
    <t>454</t>
  </si>
  <si>
    <t>㈜태성환경</t>
  </si>
  <si>
    <t>최진원</t>
  </si>
  <si>
    <t>청라동 96-1, 908호</t>
  </si>
  <si>
    <t>032-576-0374</t>
  </si>
  <si>
    <t>1992.10.30</t>
  </si>
  <si>
    <t>455</t>
  </si>
  <si>
    <t>디에스에너지</t>
  </si>
  <si>
    <t>김성호</t>
  </si>
  <si>
    <t>청마로 167번길 16, 5층 502-4호(당하동, 당하프라자)</t>
  </si>
  <si>
    <t>032-883-5879</t>
  </si>
  <si>
    <t>2019.01.29</t>
  </si>
  <si>
    <t>456</t>
  </si>
  <si>
    <t>검단자원</t>
  </si>
  <si>
    <t>청마로 34번길 32-19,
2층(당하동 958-45번지)</t>
  </si>
  <si>
    <t>457</t>
  </si>
  <si>
    <t>㈜우림플러스원</t>
  </si>
  <si>
    <t>파랑로 224-13, 1동(원창동)</t>
  </si>
  <si>
    <t>032-866-8616</t>
  </si>
  <si>
    <t>458</t>
  </si>
  <si>
    <t>정우메탈</t>
  </si>
  <si>
    <t>김인석</t>
  </si>
  <si>
    <t>파랑로116번안길 9(원창동)</t>
  </si>
  <si>
    <t>032-584-3884</t>
  </si>
  <si>
    <t>2013.10.22</t>
  </si>
  <si>
    <t>459</t>
  </si>
  <si>
    <t>㈜다원환경</t>
  </si>
  <si>
    <t>김태식</t>
  </si>
  <si>
    <t>한들로 94-2, 2층 201호(백석동)</t>
  </si>
  <si>
    <t>032-568-0706</t>
  </si>
  <si>
    <t>2015.10.19</t>
  </si>
  <si>
    <t>460</t>
  </si>
  <si>
    <t>대한산업개발㈜</t>
  </si>
  <si>
    <t>장미희</t>
  </si>
  <si>
    <t>강화읍 갑곳리 623-2</t>
  </si>
  <si>
    <t>032-932-6883</t>
  </si>
  <si>
    <t>461</t>
  </si>
  <si>
    <t>태양환경㈜</t>
  </si>
  <si>
    <t>신미옥</t>
  </si>
  <si>
    <t>강화읍 강화대로 200</t>
  </si>
  <si>
    <t>032-933-9753</t>
  </si>
  <si>
    <t>2008.05.07</t>
  </si>
  <si>
    <t>462</t>
  </si>
  <si>
    <t>신조은환경</t>
  </si>
  <si>
    <t>장인철</t>
  </si>
  <si>
    <t>강화읍 강화대로 429</t>
  </si>
  <si>
    <t>463</t>
  </si>
  <si>
    <t>강화읍 강화대로 429, 중앙시장 A동 사6호</t>
  </si>
  <si>
    <t>2019.08.22</t>
  </si>
  <si>
    <t>464</t>
  </si>
  <si>
    <t>산하환경개발</t>
  </si>
  <si>
    <t>김인규</t>
  </si>
  <si>
    <t>강화읍 강화대로 430, 중앙시장 B동 가10호</t>
  </si>
  <si>
    <t>2021.07.14</t>
  </si>
  <si>
    <t>465</t>
  </si>
  <si>
    <t>㈜한빛환경</t>
  </si>
  <si>
    <t>김정현</t>
  </si>
  <si>
    <t>강화읍 남산리 43-2</t>
  </si>
  <si>
    <t>032-933-3844</t>
  </si>
  <si>
    <t>466</t>
  </si>
  <si>
    <t>송우환경㈜</t>
  </si>
  <si>
    <t>최흥곤</t>
  </si>
  <si>
    <t>길상면 초지로 148, 208호</t>
  </si>
  <si>
    <t>032-934-0775</t>
  </si>
  <si>
    <t>2018.09.14</t>
  </si>
  <si>
    <t>467</t>
  </si>
  <si>
    <t>신신환경</t>
  </si>
  <si>
    <t>서성수</t>
  </si>
  <si>
    <t>길상면 초지로 148, 210호</t>
  </si>
  <si>
    <t>2021.02.25</t>
  </si>
  <si>
    <t>468</t>
  </si>
  <si>
    <t>㈜한강건설환경</t>
  </si>
  <si>
    <t>최병관</t>
  </si>
  <si>
    <t>불은면 강화동로 348</t>
  </si>
  <si>
    <t>032-937-4117</t>
  </si>
  <si>
    <t>2007.06.26</t>
  </si>
  <si>
    <t>469</t>
  </si>
  <si>
    <t>엔지오종합개발㈜</t>
  </si>
  <si>
    <t>박신섭</t>
  </si>
  <si>
    <t>불은면 강화동로 572</t>
  </si>
  <si>
    <t>032-937-5537</t>
  </si>
  <si>
    <t>2007.07.19</t>
  </si>
  <si>
    <t>470</t>
  </si>
  <si>
    <t>강화푸드크린㈜</t>
  </si>
  <si>
    <t>나진열</t>
  </si>
  <si>
    <t>불은면 강화동로 694</t>
  </si>
  <si>
    <t>032-937-8072</t>
  </si>
  <si>
    <t>2014.03.17</t>
  </si>
  <si>
    <t>471</t>
  </si>
  <si>
    <t>신한재활용품㈜</t>
  </si>
  <si>
    <t>신정식</t>
  </si>
  <si>
    <t>불은면 해안동로341번길 80-20</t>
  </si>
  <si>
    <t>032-937-7815</t>
  </si>
  <si>
    <t>1999.11.16</t>
  </si>
  <si>
    <t>472</t>
  </si>
  <si>
    <t>신한환경산업</t>
  </si>
  <si>
    <t>473</t>
  </si>
  <si>
    <t>산하자원</t>
  </si>
  <si>
    <t>권태우</t>
  </si>
  <si>
    <t>삼산면 삼산남로 844-9, 201호</t>
  </si>
  <si>
    <t>2019.04.10</t>
  </si>
  <si>
    <t>474</t>
  </si>
  <si>
    <t>태영리사이클링㈜</t>
  </si>
  <si>
    <t>박재운</t>
  </si>
  <si>
    <t>선원면 대문고개로 166</t>
  </si>
  <si>
    <t>475</t>
  </si>
  <si>
    <t>해결자원건설</t>
  </si>
  <si>
    <t>정승화</t>
  </si>
  <si>
    <t>양도면 강화남로634번길 8-19</t>
  </si>
  <si>
    <t>476</t>
  </si>
  <si>
    <t>오솔길유통</t>
  </si>
  <si>
    <t>심광기</t>
  </si>
  <si>
    <t>하점면 강화대로 1092</t>
  </si>
  <si>
    <t>왕겨 및 쌀겨</t>
  </si>
  <si>
    <t>032-933-0442</t>
  </si>
  <si>
    <t>477</t>
  </si>
  <si>
    <t>에스알환경</t>
  </si>
  <si>
    <t>성준호</t>
  </si>
  <si>
    <t>영흥면 영흥로 757번길 29</t>
  </si>
  <si>
    <t>폐합성고분자화합류 등
 폐목재류
폐섬유류
폐금속류
폐유리류
폐내화물 및 폐도자기</t>
  </si>
  <si>
    <t>2020.01.29</t>
  </si>
  <si>
    <t>478</t>
  </si>
  <si>
    <t>주식회사 누리종합개발</t>
  </si>
  <si>
    <t>박노옥</t>
  </si>
  <si>
    <t>옹진군 백령면 백령로278번길 12, 2층</t>
  </si>
  <si>
    <t>폐합성수지류, 폐합성고무류 등</t>
  </si>
  <si>
    <t>032-888-5526</t>
  </si>
  <si>
    <t>2021.12.28</t>
  </si>
  <si>
    <t>479</t>
  </si>
  <si>
    <t>주식회사 옹진해운</t>
  </si>
  <si>
    <t>차태정</t>
  </si>
  <si>
    <t>옹진군 연평면 연평로821번길 75</t>
  </si>
  <si>
    <t>032-881-5007</t>
  </si>
  <si>
    <t>2021.04.19</t>
  </si>
  <si>
    <t>480</t>
  </si>
  <si>
    <t>외리소장골발전위원회협동조합</t>
  </si>
  <si>
    <t>강승모</t>
  </si>
  <si>
    <t>옹진군 영흥면 영흥남로 187</t>
  </si>
  <si>
    <t>석탄재
그 밖의 연소잔재물</t>
  </si>
  <si>
    <t>032-890-4172</t>
  </si>
  <si>
    <t>2018.06.21</t>
  </si>
  <si>
    <t>481</t>
  </si>
  <si>
    <t>㈜태양이엔지전설</t>
  </si>
  <si>
    <t>송경희</t>
  </si>
  <si>
    <t>옹진군 영흥면 영흥로 165-10</t>
  </si>
  <si>
    <t>032-886-1744</t>
  </si>
  <si>
    <t>2007.01.31</t>
  </si>
  <si>
    <t>482</t>
  </si>
  <si>
    <t>대연폐기물</t>
  </si>
  <si>
    <t>서성원</t>
  </si>
  <si>
    <t>옹진군 영흥면 영흥로 364</t>
  </si>
  <si>
    <t>483</t>
  </si>
  <si>
    <t>한구환경건설</t>
  </si>
  <si>
    <t>정영미</t>
  </si>
  <si>
    <t>옹진군 영흥면 영흥서로 26</t>
  </si>
  <si>
    <t>032-886-5884</t>
  </si>
  <si>
    <t>2012.04.10</t>
  </si>
  <si>
    <t>2024.09.02</t>
  </si>
  <si>
    <t>2013.08.16</t>
  </si>
  <si>
    <t>백은순</t>
  </si>
  <si>
    <t>2014.05.27</t>
  </si>
  <si>
    <t>김상희</t>
  </si>
  <si>
    <t>2022.08.31</t>
  </si>
  <si>
    <t>2012.03.22</t>
  </si>
  <si>
    <t>2014.03.24</t>
  </si>
  <si>
    <t>2023.12.21</t>
  </si>
  <si>
    <t>2024.10.02</t>
  </si>
  <si>
    <t>2019.07.09</t>
  </si>
  <si>
    <t>2018.04.03</t>
  </si>
  <si>
    <t>2020.12.30</t>
  </si>
  <si>
    <t>2019.02.12</t>
  </si>
  <si>
    <t>유신산업</t>
  </si>
  <si>
    <t>2024.08.16</t>
  </si>
  <si>
    <t>2021.07.08</t>
  </si>
  <si>
    <t>김재학</t>
  </si>
  <si>
    <t>2023.02.24</t>
  </si>
  <si>
    <t>2024.05.27</t>
  </si>
  <si>
    <t>이미영</t>
  </si>
  <si>
    <t>성진산업</t>
  </si>
  <si>
    <t>2022.03.28</t>
  </si>
  <si>
    <t>2022.12.05</t>
  </si>
  <si>
    <t>2010.08.03</t>
  </si>
  <si>
    <t>2012.12.20</t>
  </si>
  <si>
    <t>2019.12.23</t>
  </si>
  <si>
    <t>2022.07.07</t>
  </si>
  <si>
    <t>2010.02.26</t>
  </si>
  <si>
    <t>2016.05.18</t>
  </si>
  <si>
    <t>2021.01.05</t>
  </si>
  <si>
    <t>2005.05.09</t>
  </si>
  <si>
    <t>2012.03.16</t>
  </si>
  <si>
    <t>2023.03.21</t>
  </si>
  <si>
    <t>2013.08.02</t>
  </si>
  <si>
    <t>2023.01.30</t>
  </si>
  <si>
    <t>2012.04.20</t>
  </si>
  <si>
    <t>2023.06.19</t>
  </si>
  <si>
    <t>2019.12.30</t>
  </si>
  <si>
    <t>2014.04.03</t>
  </si>
  <si>
    <t>2020.12.14</t>
  </si>
  <si>
    <t>2022.12.21</t>
  </si>
  <si>
    <t>2021.12.01</t>
  </si>
  <si>
    <t>2013.01.25</t>
  </si>
  <si>
    <t>더좋은환경㈜</t>
  </si>
  <si>
    <t>㈜산성자원환경</t>
  </si>
  <si>
    <t>2024.03.11</t>
  </si>
  <si>
    <t>2013.01.02</t>
  </si>
  <si>
    <t>2021.08.31</t>
  </si>
  <si>
    <t>2025.02.27</t>
  </si>
  <si>
    <t>2021.02.01</t>
  </si>
  <si>
    <t>2016.05.25</t>
  </si>
  <si>
    <t>우리환경개발㈜</t>
  </si>
  <si>
    <t>2007.11.26</t>
  </si>
  <si>
    <t>김대현</t>
  </si>
  <si>
    <t>2014.12.09</t>
  </si>
  <si>
    <t>1994.04.07</t>
  </si>
  <si>
    <t>2023.03.02</t>
  </si>
  <si>
    <t>김동옥</t>
  </si>
  <si>
    <t>2018.12.19</t>
  </si>
  <si>
    <t>2021.07.12</t>
  </si>
  <si>
    <t>2018.02.13</t>
  </si>
  <si>
    <t>2020.04.17</t>
  </si>
  <si>
    <t>2022.02.16</t>
  </si>
  <si>
    <t>2020.05.07</t>
  </si>
  <si>
    <t>안영철</t>
  </si>
  <si>
    <t>2021.01.12</t>
  </si>
  <si>
    <t>박성용</t>
  </si>
  <si>
    <t>2023.08.23</t>
  </si>
  <si>
    <t>2020.09.25</t>
  </si>
  <si>
    <t>2020.07.10</t>
  </si>
  <si>
    <t>2020.11.24</t>
  </si>
  <si>
    <t>2022.07.25</t>
  </si>
  <si>
    <t>2022.06.03</t>
  </si>
  <si>
    <t>2022.09.06</t>
  </si>
  <si>
    <t>2021.08.25</t>
  </si>
  <si>
    <t>2017.06.21</t>
  </si>
  <si>
    <t>2023.06.22</t>
  </si>
  <si>
    <t>김은철</t>
  </si>
  <si>
    <t>2019.11.04</t>
  </si>
  <si>
    <t>2022.03.14</t>
  </si>
  <si>
    <t>2022.08.11</t>
  </si>
  <si>
    <t>2022.10.26</t>
  </si>
  <si>
    <t>2023.02.27</t>
  </si>
  <si>
    <t>2023.11.15</t>
  </si>
  <si>
    <t>김정자</t>
  </si>
  <si>
    <t>이형모</t>
  </si>
  <si>
    <t>2019.05.14</t>
  </si>
  <si>
    <t>이훈</t>
  </si>
  <si>
    <t>2023.03.27</t>
  </si>
  <si>
    <t>두운농장</t>
  </si>
  <si>
    <t>정현철</t>
  </si>
  <si>
    <t>2021.02.05</t>
  </si>
  <si>
    <t>2018.03.16</t>
  </si>
  <si>
    <t>2013.07.29</t>
  </si>
  <si>
    <t>2013.07.12</t>
  </si>
  <si>
    <t>이종수</t>
  </si>
  <si>
    <t>동부자원</t>
  </si>
  <si>
    <t>2006.08.09</t>
  </si>
  <si>
    <t>2012.10.29</t>
  </si>
  <si>
    <t>김재용</t>
  </si>
  <si>
    <t>2012.03.26</t>
  </si>
  <si>
    <t>1011</t>
  </si>
  <si>
    <t>2000.11.21</t>
  </si>
  <si>
    <t>1997.07.03</t>
  </si>
  <si>
    <t>2024.07.09</t>
  </si>
  <si>
    <t>클린환경</t>
  </si>
  <si>
    <t>2018.06.25</t>
  </si>
  <si>
    <t>2018.04.13</t>
  </si>
  <si>
    <t>박상원</t>
  </si>
  <si>
    <t>2021.07.20</t>
  </si>
  <si>
    <t>2013.07.19</t>
  </si>
  <si>
    <t>2022.05.03</t>
  </si>
  <si>
    <t>2021.12.09</t>
  </si>
  <si>
    <t>조정운</t>
  </si>
  <si>
    <t>2021.03.10</t>
  </si>
  <si>
    <t>김영진</t>
  </si>
  <si>
    <t>2018.11.05</t>
  </si>
  <si>
    <t>2021.07.28</t>
  </si>
  <si>
    <t>2013.06.24</t>
  </si>
  <si>
    <t>2024.04.09</t>
  </si>
  <si>
    <t>2022.12.19</t>
  </si>
  <si>
    <t>2016.02.25</t>
  </si>
  <si>
    <t>2018.05.28</t>
  </si>
  <si>
    <t>2015.05.01</t>
  </si>
  <si>
    <t>2011.06.29</t>
  </si>
  <si>
    <t>2022.11.01</t>
  </si>
  <si>
    <t>2010.07.22</t>
  </si>
  <si>
    <t>2013.11.26</t>
  </si>
  <si>
    <t>김기선</t>
  </si>
  <si>
    <t>2014.10.29</t>
  </si>
  <si>
    <t>김민수</t>
  </si>
  <si>
    <t>김성일</t>
  </si>
  <si>
    <t>2004.06.17</t>
  </si>
  <si>
    <t>2018.12.07</t>
  </si>
  <si>
    <t>2020.04.27</t>
  </si>
  <si>
    <t>김기정</t>
  </si>
  <si>
    <t>2024.01.19</t>
  </si>
  <si>
    <t>2016.01.05</t>
  </si>
  <si>
    <t>2017.03.07</t>
  </si>
  <si>
    <t>2018.08.09</t>
  </si>
  <si>
    <t>김원훈</t>
  </si>
  <si>
    <t>2016.01.07</t>
  </si>
  <si>
    <t>2018.10.17</t>
  </si>
  <si>
    <t>2010.06.21</t>
  </si>
  <si>
    <t>2018.11.12</t>
  </si>
  <si>
    <t>2017.06.05</t>
  </si>
  <si>
    <t>2013.04.04</t>
  </si>
  <si>
    <t>2012.07.03</t>
  </si>
  <si>
    <t>박지훈</t>
  </si>
  <si>
    <t>2025.02.28</t>
  </si>
  <si>
    <t>2024.06.14</t>
  </si>
  <si>
    <t>2012.06.15</t>
  </si>
  <si>
    <t>최윤희</t>
  </si>
  <si>
    <t>2019.07.30</t>
  </si>
  <si>
    <t>2013.02.14</t>
  </si>
  <si>
    <t>신명학</t>
  </si>
  <si>
    <t>이범희</t>
  </si>
  <si>
    <t>2016.03.16</t>
  </si>
  <si>
    <t>2004.08.16</t>
  </si>
  <si>
    <t>2018.04.27</t>
  </si>
  <si>
    <t>강성호</t>
  </si>
  <si>
    <t>2021.07.05</t>
  </si>
  <si>
    <t>2021.05.10</t>
  </si>
  <si>
    <t>2021.09.03</t>
  </si>
  <si>
    <t>2023.03.06</t>
  </si>
  <si>
    <t>2001</t>
  </si>
  <si>
    <t>2002</t>
  </si>
  <si>
    <t>2004</t>
  </si>
  <si>
    <t>2012.02.20</t>
  </si>
  <si>
    <t>2007</t>
  </si>
  <si>
    <t>2015.02.10</t>
  </si>
  <si>
    <t>2019.07.23</t>
  </si>
  <si>
    <t>2019.04.12</t>
  </si>
  <si>
    <t>2016.04.11</t>
  </si>
  <si>
    <t>2022.11.30</t>
  </si>
  <si>
    <t>김민경</t>
  </si>
  <si>
    <t>2023.08.28</t>
  </si>
  <si>
    <t>박경식</t>
  </si>
  <si>
    <t>2012.04.05</t>
  </si>
  <si>
    <t>2024.12.26</t>
  </si>
  <si>
    <t>2012.02.24</t>
  </si>
  <si>
    <t>2021.06.22</t>
  </si>
  <si>
    <t>조광현</t>
  </si>
  <si>
    <t>2017.08.29</t>
  </si>
  <si>
    <t>2011.03.11</t>
  </si>
  <si>
    <t>2017.03.06</t>
  </si>
  <si>
    <t>2022.03.24</t>
  </si>
  <si>
    <t>해피니스</t>
  </si>
  <si>
    <t>박재환</t>
  </si>
  <si>
    <t>2019.08.20</t>
  </si>
  <si>
    <t>2018.09.03</t>
  </si>
  <si>
    <t>2012.12.27</t>
  </si>
  <si>
    <t>2024.05.01</t>
  </si>
  <si>
    <t>김재연</t>
  </si>
  <si>
    <t>㈜에이치케이환경</t>
  </si>
  <si>
    <t>김광현</t>
  </si>
  <si>
    <t>영화자원</t>
  </si>
  <si>
    <t>2013.07.30</t>
  </si>
  <si>
    <t>2012.11.27</t>
  </si>
  <si>
    <t>2019.01.02</t>
  </si>
  <si>
    <t>2019.05.15</t>
  </si>
  <si>
    <t>2024.03.21</t>
  </si>
  <si>
    <t>2016.12.07</t>
  </si>
  <si>
    <t>2017.08.07</t>
  </si>
  <si>
    <t>2013.07.10</t>
  </si>
  <si>
    <t>2016.04.01</t>
  </si>
  <si>
    <t>이레자원</t>
  </si>
  <si>
    <t>은성자원</t>
  </si>
  <si>
    <t>2017.06.14</t>
  </si>
  <si>
    <t>2018.07.20</t>
  </si>
  <si>
    <t>2020.01.14</t>
  </si>
  <si>
    <t>2017.11.02</t>
  </si>
  <si>
    <t>2014.04.17</t>
  </si>
  <si>
    <t>2015.04.07</t>
  </si>
  <si>
    <t>2014.06.11</t>
  </si>
  <si>
    <t>2024.04.23</t>
  </si>
  <si>
    <t>2010.06.30</t>
  </si>
  <si>
    <t>2016.02.18</t>
  </si>
  <si>
    <t>이윤구</t>
  </si>
  <si>
    <t>2013.08.29</t>
  </si>
  <si>
    <t>2024.01.15</t>
  </si>
  <si>
    <t>이소희</t>
  </si>
  <si>
    <t>2013.03.13</t>
  </si>
  <si>
    <t>2012.09.25</t>
  </si>
  <si>
    <t>2011.11.24</t>
  </si>
  <si>
    <t>2022.08.23</t>
  </si>
  <si>
    <t>하나산업</t>
  </si>
  <si>
    <t>나눔환경</t>
  </si>
  <si>
    <t>유재홍</t>
  </si>
  <si>
    <t>박창호</t>
  </si>
  <si>
    <t>2022.04.19</t>
  </si>
  <si>
    <t>2005.10.25</t>
  </si>
  <si>
    <t>2022.09.22</t>
  </si>
  <si>
    <t>2012.05.16</t>
  </si>
  <si>
    <t>전양수</t>
  </si>
  <si>
    <t>2019.04.23</t>
  </si>
  <si>
    <t>2021.07.22</t>
  </si>
  <si>
    <t>2011.03.02</t>
  </si>
  <si>
    <t>2025.02.18</t>
  </si>
  <si>
    <t>강훈</t>
  </si>
  <si>
    <t>2022.11.28</t>
  </si>
  <si>
    <t>2021.02.09</t>
  </si>
  <si>
    <t>2023.05.23</t>
  </si>
  <si>
    <t>2020.04.13</t>
  </si>
  <si>
    <t>2016.01.15</t>
  </si>
  <si>
    <t>강성길</t>
  </si>
  <si>
    <t>박성호</t>
  </si>
  <si>
    <t>이영진</t>
  </si>
  <si>
    <t>2017.04.07</t>
  </si>
  <si>
    <t>2021.01.13</t>
  </si>
  <si>
    <t>2023.01.11</t>
  </si>
  <si>
    <t>㈜에이치에스티</t>
  </si>
  <si>
    <t>2012.08.13</t>
  </si>
  <si>
    <t>2011.02.18</t>
  </si>
  <si>
    <t>2016.01.25</t>
  </si>
  <si>
    <t>2022.07.28</t>
  </si>
  <si>
    <t>2014.12.17</t>
  </si>
  <si>
    <t>2015.05.26</t>
  </si>
  <si>
    <t>2013.07.26</t>
  </si>
  <si>
    <t>2023.01.13</t>
  </si>
  <si>
    <t>2018.11.06</t>
  </si>
  <si>
    <t>2020.12.03</t>
  </si>
  <si>
    <t>2000.09.02</t>
  </si>
  <si>
    <t>2021.04.06</t>
  </si>
  <si>
    <t>2015.02.05</t>
  </si>
  <si>
    <t>2013.03.29</t>
  </si>
  <si>
    <t>최동철</t>
  </si>
  <si>
    <t>2023.09.12</t>
  </si>
  <si>
    <t>2020.07.21</t>
  </si>
  <si>
    <t>2012.06.22</t>
  </si>
  <si>
    <t>2021.12.08</t>
  </si>
  <si>
    <t>2016.09.29</t>
  </si>
  <si>
    <t>윤주환</t>
  </si>
  <si>
    <t>2009.08.26</t>
  </si>
  <si>
    <t>2013.09.17</t>
  </si>
  <si>
    <t>아름다운환경</t>
  </si>
  <si>
    <t>2019.10.07</t>
  </si>
  <si>
    <t>김명순</t>
  </si>
  <si>
    <t>우주자원</t>
  </si>
  <si>
    <t>2005.09.12</t>
  </si>
  <si>
    <t>2017.07.21</t>
  </si>
  <si>
    <t>김도환</t>
  </si>
  <si>
    <t>2019.05.10</t>
  </si>
  <si>
    <t>2013.04.02</t>
  </si>
  <si>
    <t>2024.07.02</t>
  </si>
  <si>
    <t>2017.07.31</t>
  </si>
  <si>
    <t>김창성</t>
  </si>
  <si>
    <t>이종국</t>
  </si>
  <si>
    <t>박은미</t>
  </si>
  <si>
    <t>1996.02.06</t>
  </si>
  <si>
    <t>2005.05.03</t>
  </si>
  <si>
    <t>2023.12.01</t>
  </si>
  <si>
    <t>2018.07.30</t>
  </si>
  <si>
    <t>박정수</t>
  </si>
  <si>
    <t>박성욱</t>
  </si>
  <si>
    <t>2012.10.25</t>
  </si>
  <si>
    <t>2019.08.16</t>
  </si>
  <si>
    <t>김형진</t>
  </si>
  <si>
    <t>2023.02.03</t>
  </si>
  <si>
    <t>나. 건설폐기물 수집·운반업체 현황</t>
  </si>
  <si>
    <t>영업대상 건설폐기물</t>
  </si>
  <si>
    <t>건설폐토석,폐벽돌(건설),폐아스팔트콘크리트(건설),폐콘크리트(건설),폐합성수지(건설),혼합건설폐기물</t>
  </si>
  <si>
    <t>건설공사로 인하여 발생되는 그 밖의 폐기물(생활폐기물과 지정폐기물은 제외),건설오니,건설폐토석,폐금속류,폐기와,폐목재,폐벽돌,폐벽지,폐보드류,폐블록,폐섬유,폐아스팔트콘크리트,폐유리,폐콘크리트,폐타일 및 폐도자기,폐판넬,폐합성수지,혼합건설폐기물</t>
  </si>
  <si>
    <t>폐콘크리트(건설),혼합건설폐기물</t>
  </si>
  <si>
    <t>건설오니,건설폐토석,폐금속류(건설),폐기와(건설),폐목재(건설),폐벽돌(건설),폐벽지,폐블록(건설),폐섬유(건설),폐아스팔트콘크리트(건설),폐유리(건설),폐콘크리트(건설),폐합성수지(건설),혼합건설폐기물</t>
  </si>
  <si>
    <t>건설폐토석,폐벽돌(건설),폐블록(건설),폐아스팔트콘크리트(건설),폐콘크리트(건설),혼합건설폐기물</t>
  </si>
  <si>
    <t>폐콘크리트(건설)</t>
  </si>
  <si>
    <t>폐아스팔트콘크리트(건설),폐콘크리트(건설)</t>
  </si>
  <si>
    <t>이재훈</t>
  </si>
  <si>
    <t>폐아스팔트콘크리트(건설),폐콘크리트(건설),혼합건설폐기물</t>
  </si>
  <si>
    <t>건설폐토석,폐아스팔트콘크리트(건설),폐콘크리트(건설),혼합건설폐기물</t>
  </si>
  <si>
    <t>이정옥</t>
  </si>
  <si>
    <t>02-3159-3345</t>
  </si>
  <si>
    <t>한창민</t>
  </si>
  <si>
    <t>2009.07.29</t>
  </si>
  <si>
    <t>이용회</t>
  </si>
  <si>
    <t>2019.10.21</t>
  </si>
  <si>
    <t>116개소</t>
  </si>
  <si>
    <t>혼합건설폐기물</t>
  </si>
  <si>
    <t>건설폐토석,폐목재(건설),폐벽돌(건설),폐블록(건설),폐아스팔트콘크리트(건설),폐콘크리트(건설),폐합성수지(건설),혼합건설폐기물</t>
  </si>
  <si>
    <t>폐목재(건설)</t>
  </si>
  <si>
    <t>폐기와(건설),폐목재(건설),폐벽돌(건설),폐블록(건설),폐아스팔트콘크리트(건설),폐콘크리트(건설),폐합성수지(건설),혼합건설폐기물</t>
  </si>
  <si>
    <t>건설오니,폐금속류(건설),폐기와(건설),폐목재(건설),폐벽돌(건설),폐벽지,폐블록(건설),폐섬유(건설),폐아스팔트콘크리트(건설),폐유리(건설),폐콘크리트(건설),폐타일 및 폐도자기,폐합성수지(건설)</t>
  </si>
  <si>
    <t>2024.04.29</t>
  </si>
  <si>
    <t>2011.03.25</t>
  </si>
  <si>
    <t>110개소</t>
  </si>
  <si>
    <t>(주)중앙Emc</t>
  </si>
  <si>
    <t>22329 인천광역시 중구  도원로8번길 52 (신흥동3가)</t>
  </si>
  <si>
    <t>(주)고려환경</t>
  </si>
  <si>
    <t>22329 인천광역시 중구  서해대로454번길 12 1층 (선화동)</t>
  </si>
  <si>
    <t>1999.10.21</t>
  </si>
  <si>
    <t>티에스산업주식회사</t>
  </si>
  <si>
    <t>22335 인천광역시 중구  축항대로 245 (항동7가) 2층</t>
  </si>
  <si>
    <t>032-889-1510</t>
  </si>
  <si>
    <t>성석개발(주)</t>
  </si>
  <si>
    <t>22337 인천광역시 중구 항동7가 축항대로212번길 48 93-13 성석개발(주)</t>
  </si>
  <si>
    <t>건설폐토석,폐벽돌(건설),폐블록(건설),폐섬유(건설),폐아스팔트콘크리트(건설),폐콘크리트(건설),폐합성수지(건설),혼합건설폐기물</t>
  </si>
  <si>
    <t>인성코퍼레이션(주)</t>
  </si>
  <si>
    <t>22342 인천광역시 중구  서해대로93번길 14-1 , 3층 (항동7가)</t>
  </si>
  <si>
    <t>해암개발(주)</t>
  </si>
  <si>
    <t>이상묵</t>
  </si>
  <si>
    <t>400-060 인천광역시 중구 사동  3-8</t>
  </si>
  <si>
    <t>건설오니,건설폐토석,폐목재(건설),폐벽돌(건설),폐블록(건설),폐아스팔트콘크리트(건설),폐콘크리트(건설),폐합성수지(건설),혼합건설폐기물</t>
  </si>
  <si>
    <t>032-766-0618</t>
  </si>
  <si>
    <t>2001.12.10</t>
  </si>
  <si>
    <t>부흥환경(주)</t>
  </si>
  <si>
    <t>진양걸</t>
  </si>
  <si>
    <t>400-103 인천광역시 중구  축항대로290번길 128 (신흥동3가)</t>
  </si>
  <si>
    <t>032-887-0992</t>
  </si>
  <si>
    <t>청도개발(주)</t>
  </si>
  <si>
    <t>400-103 인천광역시 중구 신흥동3가  45번지</t>
  </si>
  <si>
    <t>032-881-2589</t>
  </si>
  <si>
    <t>2001.07.13</t>
  </si>
  <si>
    <t>대훈환경(주)</t>
  </si>
  <si>
    <t>이윤종</t>
  </si>
  <si>
    <t>400-103 인천광역시 중구 신흥동3가  60-9</t>
  </si>
  <si>
    <t>건설오니,건설폐토석,폐금속류(건설),폐기와(건설),폐목재(건설),폐벽돌(건설),폐블록(건설),폐섬유(건설),폐아스팔트콘크리트(건설),폐유리(건설),폐콘크리트(건설),폐합성수지(건설),혼합건설폐기물</t>
  </si>
  <si>
    <t>032-889-3312</t>
  </si>
  <si>
    <t>22525 인천광역시 동구  중봉대로 87-6 (송현동)</t>
  </si>
  <si>
    <t>22528 인천광역시 동구  염전로 33 (송림동)</t>
  </si>
  <si>
    <t>주식회사 파란에코</t>
  </si>
  <si>
    <t>22530 인천광역시 동구  방축로 105 23동 335호 (송림동,인천산업용품유통단지)</t>
  </si>
  <si>
    <t>032-777-7396</t>
  </si>
  <si>
    <t>비상물류 주식회사</t>
  </si>
  <si>
    <t>이봉철</t>
  </si>
  <si>
    <t>22530 인천광역시 동구  방축로83번길 23 (송림동,인천산업용품유통단지)16동 221호</t>
  </si>
  <si>
    <t>건설폐토석,폐기와(건설),폐목재(건설),폐벽돌(건설),폐블록(건설),폐아스팔트콘크리트(건설),폐콘크리트(건설),혼합건설폐기물</t>
  </si>
  <si>
    <t>032-589-6133</t>
  </si>
  <si>
    <t>2017.04.12</t>
  </si>
  <si>
    <t>최광일</t>
  </si>
  <si>
    <t>401-704 인천광역시 동구  방축로37번길 30 (송현동,산업유통센터)</t>
  </si>
  <si>
    <t>건설폐토석,폐블록(건설),폐아스팔트콘크리트(건설),폐콘크리트,폐콘크리트(건설),혼합건설폐기물</t>
  </si>
  <si>
    <t>032-885-3336</t>
  </si>
  <si>
    <t>2012.09.04</t>
  </si>
  <si>
    <t>(주)동아이엔티</t>
  </si>
  <si>
    <t>김도길,김도연</t>
  </si>
  <si>
    <t>22111 인천광역시 미추홀구 도화동  744-5</t>
  </si>
  <si>
    <t>폐벽돌(건설),폐콘크리트(건설),폐합성수지(건설),혼합건설폐기물</t>
  </si>
  <si>
    <t>032-861-6100</t>
  </si>
  <si>
    <t>2013.01.17</t>
  </si>
  <si>
    <t>(주)부흥이엔씨(운반자)</t>
  </si>
  <si>
    <t>김흥상</t>
  </si>
  <si>
    <t>22161 인천광역시 미추홀구  미추로 62-1 다인케슬1002호(숭의동)</t>
  </si>
  <si>
    <t>032-887-6151</t>
  </si>
  <si>
    <t>(주)진영씨앤씨</t>
  </si>
  <si>
    <t>22173 인천광역시 미추홀구  장천로 23 (숭의동) 한양빌딩 201호</t>
  </si>
  <si>
    <t>주식회사 프린웍스산업</t>
  </si>
  <si>
    <t>박성효</t>
  </si>
  <si>
    <t>22177 인천광역시 미추홀구  장천로 6 (숭의동)</t>
  </si>
  <si>
    <t>(주)브니엘특수</t>
  </si>
  <si>
    <t>22190 인천광역시 미추홀구 용현동  630-10 청솔프라자 407호</t>
  </si>
  <si>
    <t>032-884-1500</t>
  </si>
  <si>
    <t>동아개발(주)</t>
  </si>
  <si>
    <t>22196 인천광역시 미추홀구  아암대로227번길 70-18 (학익동)</t>
  </si>
  <si>
    <t>1996.05.27</t>
  </si>
  <si>
    <t>제이엔씨(주)</t>
  </si>
  <si>
    <t>박원병</t>
  </si>
  <si>
    <t>22204 인천광역시 미추홀구  매소홀로 262 (학익동) 시티필드 12층23호</t>
  </si>
  <si>
    <t>032-228-1001</t>
  </si>
  <si>
    <t>신현산업개발주식회사</t>
  </si>
  <si>
    <t>신현정</t>
  </si>
  <si>
    <t>22204 인천광역시 미추홀구  매소홀로 262 15018호</t>
  </si>
  <si>
    <t>032-886-8700</t>
  </si>
  <si>
    <t>21917 인천광역시 연수구  청명로17번길 24 2층 201호 (청학동)</t>
  </si>
  <si>
    <t>032-832-1888</t>
  </si>
  <si>
    <t>에코글로벌서비스(주)</t>
  </si>
  <si>
    <t>서세원</t>
  </si>
  <si>
    <t>21946 인천광역시 연수구  능허대로 187 (옥련동, 송도비취타운)</t>
  </si>
  <si>
    <t>건설오니,건설폐토석,폐금속류(건설),폐기와(건설),폐목재(건설),폐벽돌(건설),폐벽지,폐보드류,폐블록(건설),폐섬유(건설),폐아스팔트콘크리트(건설),폐유리(건설),폐콘크리트(건설),폐타일 및 폐도자기,폐판넬,혼합건설폐기물</t>
  </si>
  <si>
    <t>032-566-4466</t>
  </si>
  <si>
    <t>21946 인천광역시 연수구  한나루로 104 , 국제타운 508호 (옥련동)</t>
  </si>
  <si>
    <t>(주)영앤리치</t>
  </si>
  <si>
    <t>21994 인천광역시 연수구  컨벤시아대로 55 상가동 202-7엠호 (송도동, 송도이안)</t>
  </si>
  <si>
    <t>032-463-1588</t>
  </si>
  <si>
    <t>(주)평화로지스</t>
  </si>
  <si>
    <t>김맹주</t>
  </si>
  <si>
    <t>22006 인천광역시 연수구 송도동  29-2 (송도랜드마크푸르지오시티)B동2004호</t>
  </si>
  <si>
    <t>032-214-0474</t>
  </si>
  <si>
    <t>주식회사 더케이파트너스</t>
  </si>
  <si>
    <t>22007 인천광역시 연수구  인천타워대로 323 에이동 1602호  (송도동)</t>
  </si>
  <si>
    <t>건설폐토석</t>
  </si>
  <si>
    <t>406-821 인천광역시 연수구 옥련동  118번지 8호</t>
  </si>
  <si>
    <t>(주)건도산업</t>
  </si>
  <si>
    <t>김제용</t>
  </si>
  <si>
    <t>21558 인천광역시 남동구  미래로 17 (구월동, 이노프라자텔)</t>
  </si>
  <si>
    <t>031-949-3705</t>
  </si>
  <si>
    <t>(주)태진환경산업</t>
  </si>
  <si>
    <t>정원곤</t>
  </si>
  <si>
    <t>21601 인천광역시 남동구  음실서로 37 (주)태진환경산업 (운연동)</t>
  </si>
  <si>
    <t>032-467-5001</t>
  </si>
  <si>
    <t>그린웨이 주식회사</t>
  </si>
  <si>
    <t>21653 인천광역시 남동구  논고개로123번길 35 701호 (논현동)</t>
  </si>
  <si>
    <t>070-869-2989</t>
  </si>
  <si>
    <t>(주)화성</t>
  </si>
  <si>
    <t>이효동</t>
  </si>
  <si>
    <t>21673 인천광역시 남동구  소래역로 28 (논현동,조은프라자)405호</t>
  </si>
  <si>
    <t>032-578-5640</t>
  </si>
  <si>
    <t>측천산업(주)_수집운반</t>
  </si>
  <si>
    <t>임성배</t>
  </si>
  <si>
    <t>21677 인천광역시 남동구  앵고개로697번길 50 (고잔동), 3층</t>
  </si>
  <si>
    <t>032-430-6015</t>
  </si>
  <si>
    <t>2019.01.18</t>
  </si>
  <si>
    <t>주식회사 남동환경</t>
  </si>
  <si>
    <t>최현인</t>
  </si>
  <si>
    <t>21678 인천광역시 남동구  고잔로41번길 56-1 (고잔동)</t>
  </si>
  <si>
    <t>032-438-9011</t>
  </si>
  <si>
    <t>(주)일성제이에스</t>
  </si>
  <si>
    <t>405-260 인천광역시 남동구  매소홀로 1135 (서창동,제이알빌딩4층)</t>
  </si>
  <si>
    <t>405-270 인천광역시 남동구 운연동  257-6</t>
  </si>
  <si>
    <t>(주)세종인바이런먼트</t>
  </si>
  <si>
    <t>405-310 인천광역시 남동구 고잔동  512-26</t>
  </si>
  <si>
    <t>폐기와(건설),폐목재(건설),폐벽돌(건설),폐블록(건설),폐아스팔트콘크리트(건설),폐콘크리트,폐콘크리트(건설),폐합성수지(건설),폐합성수지류(폐염화비닐수지류는 제외한다),혼합건설폐기물</t>
  </si>
  <si>
    <t>032-812-6283</t>
  </si>
  <si>
    <t>1997.12.13</t>
  </si>
  <si>
    <t>(주)마당쇠환경_2022년 사업장 폐기물 처리용역</t>
  </si>
  <si>
    <t>홍성곤</t>
  </si>
  <si>
    <t>405-816 인천광역시 남동구 고잔동  408번지</t>
  </si>
  <si>
    <t>건설오니,건설폐토석,폐기와(건설),폐목재(건설),폐벽돌(건설),폐보드류,폐블록(건설),폐아스팔트콘크리트(건설),폐콘크리트(건설),폐타일 및 폐도자기,폐판넬,폐합성수지(건설),혼합건설폐기물</t>
  </si>
  <si>
    <t>032-425-5658</t>
  </si>
  <si>
    <t>405-863 인천광역시 남동구  복개동로38번길 47 (만수동)</t>
  </si>
  <si>
    <t>홍익환경건설(주)</t>
  </si>
  <si>
    <t>21301 인천광역시 부평구  평천로37번길 6-4 202호 (청천동)</t>
  </si>
  <si>
    <t>032-569-7339</t>
  </si>
  <si>
    <t>2006.04.04</t>
  </si>
  <si>
    <t>우리환경개발</t>
  </si>
  <si>
    <t>안미식</t>
  </si>
  <si>
    <t>21315 인천광역시 부평구  부평대로 283 (청천동, 부평우림라이온스밸리)A동B115-15</t>
  </si>
  <si>
    <t>주식회사 제이케이아이앤씨</t>
  </si>
  <si>
    <t>이종근</t>
  </si>
  <si>
    <t>21317 인천광역시 부평구  주부토로 284 (갈산동) 403호</t>
  </si>
  <si>
    <t>삼광기업</t>
  </si>
  <si>
    <t>정철</t>
  </si>
  <si>
    <t>21333 인천광역시 부평구  부평대로 256 (갈산동, 국제빌딩) 301호</t>
  </si>
  <si>
    <t>박석만</t>
  </si>
  <si>
    <t>21352 인천광역시 부평구  길주남로 112-13 (부평동)</t>
  </si>
  <si>
    <t>(주)보성이앤씨</t>
  </si>
  <si>
    <t>최재우</t>
  </si>
  <si>
    <t>21352 인천광역시 부평구  부흥북로117번길 9-4 301호 (부개동)</t>
  </si>
  <si>
    <t>032-503-5607</t>
  </si>
  <si>
    <t>(주)미림이엔씨</t>
  </si>
  <si>
    <t>21361 인천광역시 부평구  길주로 392 -1, 5층 금강빌딩</t>
  </si>
  <si>
    <t>건설오니,폐벽돌(건설),폐블록(건설),폐아스팔트콘크리트(건설),폐콘크리트(건설),폐합성고무,폐합성수지(건설)</t>
  </si>
  <si>
    <t>032-875-0185</t>
  </si>
  <si>
    <t>2009.01.30</t>
  </si>
  <si>
    <t>준서환경</t>
  </si>
  <si>
    <t>유태상</t>
  </si>
  <si>
    <t>21362 인천광역시 부평구  마장로 320 (산곡동) 208, 209호 L47호</t>
  </si>
  <si>
    <t>(주)대아이앤씨</t>
  </si>
  <si>
    <t>이은지</t>
  </si>
  <si>
    <t>21362 인천광역시 부평구  마장로 320 (산곡동, 한화프라자) 208,209호 L42호</t>
  </si>
  <si>
    <t>인천폐기물</t>
  </si>
  <si>
    <t>조성민</t>
  </si>
  <si>
    <t>21362 인천광역시 부평구  마장로 320 2층 L39호 208호, 209호 (산곡동)</t>
  </si>
  <si>
    <t>제이씨(JC)환경</t>
  </si>
  <si>
    <t>박찬용</t>
  </si>
  <si>
    <t>21390 인천광역시 부평구  부평대로 66 (부평동) 4층 408-349호</t>
  </si>
  <si>
    <t>21394 인천광역시 부평구 부평동 시장로 33 192-6 한남시티프라자 705호</t>
  </si>
  <si>
    <t>폐벽돌(건설),폐아스팔트콘크리트(건설),폐콘크리트(건설),혼합건설폐기물</t>
  </si>
  <si>
    <t>2020.05.08</t>
  </si>
  <si>
    <t>다올(JK)환경폐기물</t>
  </si>
  <si>
    <t>21444 인천광역시 부평구  이규보로 34-11 (십정동) 1층 101호</t>
  </si>
  <si>
    <t>21453 인천광역시 부평구  백범로 478 (십정동, 종근당빌딩)3층</t>
  </si>
  <si>
    <t>2022.05.02</t>
  </si>
  <si>
    <t>아토산업개발(주)</t>
  </si>
  <si>
    <t>최일영</t>
  </si>
  <si>
    <t>403-030 인천광역시 부평구 청천동  409-7 3층 301호</t>
  </si>
  <si>
    <t>032-567-7396</t>
  </si>
  <si>
    <t>2007.10.11</t>
  </si>
  <si>
    <t>이도에코(주)(건설)</t>
  </si>
  <si>
    <t>403-100 인천광역시 부평구 부개동  250-19 동양빌딩4층 402</t>
  </si>
  <si>
    <t>다모아환경개발(주)</t>
  </si>
  <si>
    <t>유승연</t>
  </si>
  <si>
    <t>403-847 인천광역시 부평구 십정1동  558-2 다모아환경개발(주)</t>
  </si>
  <si>
    <t>032-581-0034</t>
  </si>
  <si>
    <t>더위드건설주식회사-수집운반</t>
  </si>
  <si>
    <t>21004 인천광역시 계양구  황어로 133 301호 (장기동, 오름채)</t>
  </si>
  <si>
    <t>(주)청암건설</t>
  </si>
  <si>
    <t>권혁진</t>
  </si>
  <si>
    <t>21007 인천광역시 계양구  장기서로20번길 10 ,102호 (장기동)</t>
  </si>
  <si>
    <t>032-563-8066</t>
  </si>
  <si>
    <t>주식회사 모두철거</t>
  </si>
  <si>
    <t>조현경</t>
  </si>
  <si>
    <t>21007 인천광역시 계양구  황어로115번길 13 (장기동, 계양 벽산 블루밍) 상가동지1층지3호</t>
  </si>
  <si>
    <t>건설폐재류(콘크리트, 벽돌 등을 말한다),폐금속류(건설),폐콘크리트(건설),혼합건설폐기물</t>
  </si>
  <si>
    <t>2019.05.20</t>
  </si>
  <si>
    <t>지환환경</t>
  </si>
  <si>
    <t>백미숙</t>
  </si>
  <si>
    <t>21008 인천광역시 계양구  평리길 118-10 (평동)</t>
  </si>
  <si>
    <t>신라환경</t>
  </si>
  <si>
    <t>김낙현</t>
  </si>
  <si>
    <t>21009 인천광역시 계양구  벌말로529번길 8-1 (상야동)</t>
  </si>
  <si>
    <t>032-548-8046</t>
  </si>
  <si>
    <t>(주)우리이에스티</t>
  </si>
  <si>
    <t>21016 인천광역시 계양구  양지로 134 (귤현동)</t>
  </si>
  <si>
    <t>032-555-5677</t>
  </si>
  <si>
    <t>마포환경</t>
  </si>
  <si>
    <t>이기성</t>
  </si>
  <si>
    <t>21065 인천광역시 계양구  오조산로 91 ,2층 203호 (용종동)</t>
  </si>
  <si>
    <t>해밀환경(주)</t>
  </si>
  <si>
    <t>조영실</t>
  </si>
  <si>
    <t>21069 인천광역시 계양구  계양문화로 44 1202호(계산동,라이즈빌)</t>
  </si>
  <si>
    <t>032-553-3228</t>
  </si>
  <si>
    <t>2002.08.26</t>
  </si>
  <si>
    <t>드림개발</t>
  </si>
  <si>
    <t>김문호</t>
  </si>
  <si>
    <t>21069 인천광역시 계양구  계양문화로 54 (계산동)</t>
  </si>
  <si>
    <t>026-338-0375</t>
  </si>
  <si>
    <t>21069 인천광역시 계양구  계양문화로 54 ,10층 62-1호 (계산동, 대산월드프라자)</t>
  </si>
  <si>
    <t>1688-5995</t>
  </si>
  <si>
    <t>다올환경개발</t>
  </si>
  <si>
    <t>양유미</t>
  </si>
  <si>
    <t>21069 인천광역시 계양구  오조산로57번길 15 7층7079호 (계산동, 명동빌딩)</t>
  </si>
  <si>
    <t>폐목재(건설),폐벽돌(건설),폐블록(건설),폐섬유(건설),폐아스팔트콘크리트(건설),폐콘크리트(건설),폐합성수지(건설),혼합건설폐기물</t>
  </si>
  <si>
    <t>우영티앤아이주식회사</t>
  </si>
  <si>
    <t>채효경</t>
  </si>
  <si>
    <t>21072 인천광역시 계양구 서운동  214-6 SB TOWER 602호</t>
  </si>
  <si>
    <t>032-326-5757</t>
  </si>
  <si>
    <t>인성환경(주)</t>
  </si>
  <si>
    <t>21075 인천광역시 계양구  서운산업로47번길 8 (서운동)</t>
  </si>
  <si>
    <t>동부환경개발(주)</t>
  </si>
  <si>
    <t>21075 인천광역시 계양구 서운동 아나지로 573 (서운동)</t>
  </si>
  <si>
    <t>2001.06.20</t>
  </si>
  <si>
    <t>파트너환경주식회사</t>
  </si>
  <si>
    <t>용해용</t>
  </si>
  <si>
    <t>21076 인천광역시 계양구  아나지로 583 (서운동)</t>
  </si>
  <si>
    <t>032-543-9936</t>
  </si>
  <si>
    <t>해피환경</t>
  </si>
  <si>
    <t>박기성</t>
  </si>
  <si>
    <t>21087 인천광역시 계양구  주부토로 463 (작전동)5층502호</t>
  </si>
  <si>
    <t>(주)전진기업</t>
  </si>
  <si>
    <t>21119 인천광역시 계양구  아나지로 311 137호 (작전동, 동보아파트) 상가동</t>
  </si>
  <si>
    <t>031-811-7530</t>
  </si>
  <si>
    <t>정진이엔씨(주)</t>
  </si>
  <si>
    <t>이명동</t>
  </si>
  <si>
    <t>407-070 인천광역시 계양구 서운동  146</t>
  </si>
  <si>
    <t>032-541-1050</t>
  </si>
  <si>
    <t>(주)우인종합물류 인천지점</t>
  </si>
  <si>
    <t>407-310 인천광역시 계양구  계양문화로 86 (용종동)</t>
  </si>
  <si>
    <t>건설폐토석,폐목재(건설),폐벽돌(건설),폐블록(건설),폐아스팔트콘크리트(건설),폐콘크리트(건설),혼합건설폐기물</t>
  </si>
  <si>
    <t>산호에너지</t>
  </si>
  <si>
    <t>407-320 인천광역시 계양구 병방동  165-1</t>
  </si>
  <si>
    <t>22601 인천광역시 서구  검단로623번길 7 ,2층 (한중프라자)</t>
  </si>
  <si>
    <t>강서환경</t>
  </si>
  <si>
    <t>문미영</t>
  </si>
  <si>
    <t>22635 인천광역시 서구  완정로 158 (마전동)</t>
  </si>
  <si>
    <t>1566-4752</t>
  </si>
  <si>
    <t>22635 인천광역시 서구  완정로 158 ,755호 (마전동)</t>
  </si>
  <si>
    <t>주식회사 에이원환경</t>
  </si>
  <si>
    <t>22635 인천광역시 서구 마전동  979-16 중앙빌딩701호</t>
  </si>
  <si>
    <t>032-562-7572</t>
  </si>
  <si>
    <t>(주)이슬컴퍼니</t>
  </si>
  <si>
    <t>22635 인천광역시 서구 마전동  980-8 검단사거리역 듀클래스 비동 310호</t>
  </si>
  <si>
    <t>건설오니,건설폐토석,폐금속류(건설),폐기와(건설),폐목재(건설),폐벽돌(건설),폐벽지,폐보드류,폐블록(건설),폐섬유(건설),폐아스팔트콘크리트(건설),폐유리(건설),폐타일 및 폐도자기,폐판넬,폐합성수지(건설),혼합건설폐기물</t>
  </si>
  <si>
    <t>(주)한성기업</t>
  </si>
  <si>
    <t>문재수</t>
  </si>
  <si>
    <t>22637 인천광역시 서구  원당대로 537 처리시설(왕길동 64-430/ 외 7필지)</t>
  </si>
  <si>
    <t>032-565-9110</t>
  </si>
  <si>
    <t>2017.03.21</t>
  </si>
  <si>
    <t>조은토건(주)</t>
  </si>
  <si>
    <t>윤중진</t>
  </si>
  <si>
    <t>22647 인천광역시 서구  원당대로 855 301호 (원당동,웰빙프라자)</t>
  </si>
  <si>
    <t>031-971-8831</t>
  </si>
  <si>
    <t>(주)청화공영(지점)</t>
  </si>
  <si>
    <t>22664 인천광역시 서구  보듬6로 36 (오류동, 토성드페리움) 205호</t>
  </si>
  <si>
    <t>032-567-5257</t>
  </si>
  <si>
    <t>(주)순환</t>
  </si>
  <si>
    <t>김만기</t>
  </si>
  <si>
    <t>22665 인천광역시 서구  검단천로 201 (오류동)</t>
  </si>
  <si>
    <t>032-562-3605</t>
  </si>
  <si>
    <t>주식회사 석천기업</t>
  </si>
  <si>
    <t>22665 인천광역시 서구  검단천로 203 (오류동, 장형기업)</t>
  </si>
  <si>
    <t>032-562-1658</t>
  </si>
  <si>
    <t>(주)아이케이</t>
  </si>
  <si>
    <t>22665 인천광역시 서구 오류동  1536번지</t>
  </si>
  <si>
    <t>건설오니,건설폐토석,폐벽돌(건설),폐보드류,폐블록(건설),폐아스팔트콘크리트(건설),폐콘크리트(건설),폐토사,폐합성수지(건설),혼합건설폐기물</t>
  </si>
  <si>
    <t>070-4376-0699</t>
  </si>
  <si>
    <t>(주)장형기업</t>
  </si>
  <si>
    <t>홍제태, 이수일</t>
  </si>
  <si>
    <t>22665 인천광역시 서구 오류동 검단천로 203 (오류동, 장형기업)</t>
  </si>
  <si>
    <t>1995.02.18</t>
  </si>
  <si>
    <t>동아공사(주)</t>
  </si>
  <si>
    <t>김건훈</t>
  </si>
  <si>
    <t>22672 인천광역시 서구  드림로 176 (백석동)</t>
  </si>
  <si>
    <t>032-565-0701</t>
  </si>
  <si>
    <t>아라개발 주식회사</t>
  </si>
  <si>
    <t>홍정화</t>
  </si>
  <si>
    <t>22704 인천광역시 서구  승학로 551 , 303-2호 (검암동, 동곡프라자)</t>
  </si>
  <si>
    <t>032-710-5677</t>
  </si>
  <si>
    <t>2021.02.17</t>
  </si>
  <si>
    <t>장형산업개발(주)</t>
  </si>
  <si>
    <t>최경용</t>
  </si>
  <si>
    <t>22709 인천광역시 서구  경명대로694번길 1 (공촌동)201호</t>
  </si>
  <si>
    <t>032-552-6247</t>
  </si>
  <si>
    <t>(주)경도이앤씨</t>
  </si>
  <si>
    <t>이경빈</t>
  </si>
  <si>
    <t>22709 인천광역시 서구  심곡로194번길 33 ,1동 201호 (공촌동)</t>
  </si>
  <si>
    <t>2018.10.01</t>
  </si>
  <si>
    <t>(주)세기산업개발</t>
  </si>
  <si>
    <t>이문경</t>
  </si>
  <si>
    <t>22711 인천광역시 서구 심곡동 염곡로464번길 15 257-13</t>
  </si>
  <si>
    <t>032-529-4422</t>
  </si>
  <si>
    <t>2010.02.16</t>
  </si>
  <si>
    <t>(주)그린리텍 청라지점</t>
  </si>
  <si>
    <t>윤예진</t>
  </si>
  <si>
    <t>22762 인천광역시 서구  청라커낼로 264 두손중앙프라자 1010호 (청라동)</t>
  </si>
  <si>
    <t>(주)지엘산업개발</t>
  </si>
  <si>
    <t>황미영</t>
  </si>
  <si>
    <t>22762 인천광역시 서구  청라커낼로260번길 27 17층 비 1721호 (청라동)</t>
  </si>
  <si>
    <t>032-566-0612</t>
  </si>
  <si>
    <t>22812 인천광역시 서구  여우재로86번길 27 1층 (가좌동)</t>
  </si>
  <si>
    <t>032-981-3050</t>
  </si>
  <si>
    <t>(주)정암건설</t>
  </si>
  <si>
    <t>임희곤</t>
  </si>
  <si>
    <t>404-140 인천광역시 서구  독정로 6 3층</t>
  </si>
  <si>
    <t>032-562-1770</t>
  </si>
  <si>
    <t>주식회사 현범건설</t>
  </si>
  <si>
    <t>신현근</t>
  </si>
  <si>
    <t>404-140 인천광역시 서구 백석동  209번지 201호</t>
  </si>
  <si>
    <t>032-561-6277</t>
  </si>
  <si>
    <t>(주)엔케이산업</t>
  </si>
  <si>
    <t>남궁균</t>
  </si>
  <si>
    <t>404-190 인천광역시 서구 심곡동  승학로 198 1-207</t>
  </si>
  <si>
    <t>건설오니,폐금속류(건설),폐유리(건설),폐타일 및 폐도자기,폐합성수지(건설)</t>
  </si>
  <si>
    <t>032-263-5114</t>
  </si>
  <si>
    <t>에스지이(주)석남지점</t>
  </si>
  <si>
    <t>404-220 인천광역시 서구 석남동  223-640 (봉수대로300번길 9) 2동 1층</t>
  </si>
  <si>
    <t>폐아스팔트콘크리트(건설)</t>
  </si>
  <si>
    <t>032-584-5353</t>
  </si>
  <si>
    <t>2012.07.17</t>
  </si>
  <si>
    <t>한밭미래자원(주)</t>
  </si>
  <si>
    <t>404-290 인천광역시 서구 왕길동  (거월로 51)</t>
  </si>
  <si>
    <t>032-562-9973</t>
  </si>
  <si>
    <t>2012.03.12</t>
  </si>
  <si>
    <t>404-310 인천광역시 서구  원당대로840번길 5 3층 303호 (당하동,장원프라자)</t>
  </si>
  <si>
    <t>폐목재(건설),폐합성수지(건설)</t>
  </si>
  <si>
    <t>(주)삼천리로지스틱</t>
  </si>
  <si>
    <t>한민구</t>
  </si>
  <si>
    <t>404-842 인천광역시 서구  검암로29번길 6-6 , 102호 (검암동,검암타운)</t>
  </si>
  <si>
    <t>건설폐토석,폐벽돌(건설),폐아스팔트콘크리트(건설),폐콘크리트,폐콘크리트(건설),혼합건설폐기물</t>
  </si>
  <si>
    <t>032-569-5210</t>
  </si>
  <si>
    <t>2011.10.04</t>
  </si>
  <si>
    <t>(주)건상</t>
  </si>
  <si>
    <t>404-845 인천광역시 서구  승학로 412 201호 (검암동)</t>
  </si>
  <si>
    <t>032-325-1608</t>
  </si>
  <si>
    <t>2016.03.30</t>
  </si>
  <si>
    <t>송우환경(주)</t>
  </si>
  <si>
    <t>23049 인천광역시 강화군 길상면 초지로 148 (M.D마린모타보트) 2층 208호</t>
  </si>
  <si>
    <t>1997.07.01</t>
  </si>
  <si>
    <t>(주)케이제이와이건설</t>
  </si>
  <si>
    <t>23049 인천광역시 강화군 길상면 해안동로 75 2층  (초지리, 초지주유소)</t>
  </si>
  <si>
    <t>2020.06.23</t>
  </si>
  <si>
    <t>(주)승유산업</t>
  </si>
  <si>
    <t>권영숙</t>
  </si>
  <si>
    <t>23052 인천광역시 강화군 길상면 장흥로258번길 43 1층</t>
  </si>
  <si>
    <t>032-937-7146</t>
  </si>
  <si>
    <t>(주)한강건설환경</t>
  </si>
  <si>
    <t>417-831 인천광역시 강화군 불은면 신현리 1-4</t>
  </si>
  <si>
    <t>1999.11.06</t>
  </si>
  <si>
    <t>황해환경(주)</t>
  </si>
  <si>
    <t>조민경</t>
  </si>
  <si>
    <t>23101 인천광역시 옹진군 백령면 백령로 461-20 , 2층</t>
  </si>
  <si>
    <t>032-836-3228</t>
  </si>
  <si>
    <t>2013.01.08</t>
  </si>
  <si>
    <t>2019.08.28</t>
  </si>
  <si>
    <t>김종석</t>
  </si>
  <si>
    <t>2009.09.08</t>
  </si>
  <si>
    <t>김종우</t>
  </si>
  <si>
    <t>이창주</t>
  </si>
  <si>
    <t>2014.12.08</t>
  </si>
  <si>
    <t>김승현</t>
  </si>
  <si>
    <t>2017.04.27</t>
  </si>
  <si>
    <t>2021.03.19</t>
  </si>
  <si>
    <t>오케이환경</t>
  </si>
  <si>
    <t>이규성</t>
  </si>
  <si>
    <t>2013.03.04</t>
  </si>
  <si>
    <t>2020.02.26</t>
  </si>
  <si>
    <t>2000.02.01</t>
  </si>
  <si>
    <t>2024.02.21</t>
  </si>
  <si>
    <t>2002.11.28</t>
  </si>
  <si>
    <t>2014.10.07</t>
  </si>
  <si>
    <t>2018.07.12</t>
  </si>
  <si>
    <t>2022.02.17</t>
  </si>
  <si>
    <t>2016.11.04</t>
  </si>
  <si>
    <t>김경철</t>
  </si>
  <si>
    <t>건설오니,건설폐토석,폐벽돌(건설),폐블록(건설),폐아스팔트콘크리트(건설),폐콘크리트(건설),혼합건설폐기물</t>
  </si>
  <si>
    <t>2009.05.26</t>
  </si>
  <si>
    <t>전태현</t>
  </si>
  <si>
    <t>2005.06.16</t>
  </si>
  <si>
    <t>2022.12.07</t>
  </si>
  <si>
    <t>4. 폐기물 중간처분업체 현황</t>
  </si>
  <si>
    <t>가. 소각시설 현황</t>
  </si>
  <si>
    <t>1일 평균
가동시간</t>
  </si>
  <si>
    <t>인천국제공항공사</t>
  </si>
  <si>
    <t>인천. 중구 영종해안북로1050번길 78-13</t>
  </si>
  <si>
    <t>032-741-7160</t>
  </si>
  <si>
    <t>남동서로316번길 41</t>
  </si>
  <si>
    <t>2005.12.02</t>
  </si>
  <si>
    <t>㈜그린스코</t>
  </si>
  <si>
    <t>앵고개로654번길 99</t>
  </si>
  <si>
    <t>032-718-0114</t>
  </si>
  <si>
    <t>(주)케이비아이텍</t>
  </si>
  <si>
    <t>박유상, 김선진</t>
  </si>
  <si>
    <t>건지로153번길 54, 55 (석남동)</t>
  </si>
  <si>
    <t>032-571-3224</t>
  </si>
  <si>
    <t>경인환경에너지(주)</t>
  </si>
  <si>
    <t>최희준</t>
  </si>
  <si>
    <t>(주)에이티에너지</t>
  </si>
  <si>
    <t>최해두, 심진우</t>
  </si>
  <si>
    <t>중봉대로386번길 9(원창동)</t>
  </si>
  <si>
    <t>032-584-7706
032-584-8831</t>
  </si>
  <si>
    <t>나. 기타(소각 제외) 시설 현황</t>
  </si>
  <si>
    <t>중간처분시설(소각제외) 처리능력(톤/일)</t>
  </si>
  <si>
    <t>(주)삼원환경</t>
  </si>
  <si>
    <t>정혜자</t>
  </si>
  <si>
    <t>인천광역시 연수구 인천신항대로892번길 50</t>
  </si>
  <si>
    <t>032-820-7329</t>
  </si>
  <si>
    <t>(주)오성자원</t>
  </si>
  <si>
    <t>폐합성수지류
폐합성고무류
폐폴리염화비닐수지류
폐플라스틱폐포장재
그밖의 폐기물</t>
  </si>
  <si>
    <t>4. 폐기물 중간처리업체 현황</t>
  </si>
  <si>
    <t>다. 건설폐기물 중간처리업체 현황</t>
  </si>
  <si>
    <t>부지면적(㎡)</t>
  </si>
  <si>
    <t>자체수집
운반차량</t>
  </si>
  <si>
    <t>영업대상
폐기물</t>
  </si>
  <si>
    <t>모래생산
시설보유
차량</t>
  </si>
  <si>
    <t>순환골재
생산규격</t>
  </si>
  <si>
    <t>허용보관량</t>
  </si>
  <si>
    <t>자본금규모</t>
  </si>
  <si>
    <t>반납신고일
(년.월.일)</t>
  </si>
  <si>
    <t>1차</t>
  </si>
  <si>
    <t>2차</t>
  </si>
  <si>
    <t>3차이상</t>
  </si>
  <si>
    <t>(만원)</t>
  </si>
  <si>
    <t>죠크라샤</t>
  </si>
  <si>
    <t>26~50mm, 6~25mm, 5mm</t>
  </si>
  <si>
    <t>6~25mm, 5mm</t>
  </si>
  <si>
    <t>더블죠크라샤</t>
  </si>
  <si>
    <t>콘크라샤</t>
  </si>
  <si>
    <t>조크러셔</t>
  </si>
  <si>
    <t>6~25mm</t>
  </si>
  <si>
    <t>26~50mm</t>
  </si>
  <si>
    <t>26~50mm, 6~25mm</t>
  </si>
  <si>
    <t>26~50mm, 5mm</t>
  </si>
  <si>
    <t>조크라샤</t>
  </si>
  <si>
    <t>콘크라샤,버켓박리기</t>
  </si>
  <si>
    <t>2012.07.10</t>
  </si>
  <si>
    <t>장형지피</t>
  </si>
  <si>
    <t>소환순, 김선균</t>
  </si>
  <si>
    <t>콘크락샤</t>
  </si>
  <si>
    <t>이주신,김창성</t>
  </si>
  <si>
    <t>건설폐토석,그 밖의 폐목재류,폐기와(건설),폐벽돌(건설),폐블록(건설),폐아스팔트콘크리트(건설),폐콘크리트(건설),폐합성고무류,폐합성수지류(폐염화비닐수지류는 제외한다),혼합건설폐기물</t>
  </si>
  <si>
    <t>JC-6048</t>
  </si>
  <si>
    <t>CC-2100</t>
  </si>
  <si>
    <t>CSH-16580</t>
  </si>
  <si>
    <t>더블조크러셔</t>
  </si>
  <si>
    <t>콘크러셔,콘크러셔,콘크러셔,샌드크러셔,샌드크러셔</t>
  </si>
  <si>
    <t>건설폐토석,건설폐토석,폐아스팔트콘크리트(건설),폐콘크리트,폐콘크리트(건설),폐합성수지(건설),혼합건설폐기물</t>
  </si>
  <si>
    <t>콘크라샤,버켓타격박리기</t>
  </si>
  <si>
    <t>삼덕유화(주)</t>
  </si>
  <si>
    <t>22667 인천광역시 서구 오류동 도담로 109 (오류동)</t>
  </si>
  <si>
    <t>박희용, 박재찬</t>
  </si>
  <si>
    <t>032-564-8071</t>
  </si>
  <si>
    <t>죠크러샤</t>
  </si>
  <si>
    <t>임팩트크러샤</t>
  </si>
  <si>
    <t>2012.05.09</t>
  </si>
  <si>
    <t>22672 인천광역시 서구  드림로 176 1.사업장:백석동 257  2.진입로(공동) : 백석동 256</t>
  </si>
  <si>
    <t>죠크라샤 1대 250HP (습식),2축식 파쇄기 350HP</t>
  </si>
  <si>
    <t>더블죠크라샤 1대(100*2EA)HP (습식)</t>
  </si>
  <si>
    <t>콘크라샤 2대 250, 300HP (습식)</t>
  </si>
  <si>
    <t>1997.02.05</t>
  </si>
  <si>
    <t>한밭산업(주)</t>
  </si>
  <si>
    <t>22839 인천광역시 서구  가정로37번길 5 (가좌동), 한밭산업(주)</t>
  </si>
  <si>
    <t>서상호</t>
  </si>
  <si>
    <t>032-571-0406</t>
  </si>
  <si>
    <t>(주)이도 (Yido Co., Ltd)</t>
  </si>
  <si>
    <t>404-140 인천광역시 서구  드림로 174 (백석동)</t>
  </si>
  <si>
    <t>032-567-2315</t>
  </si>
  <si>
    <t>콘크라샤,임팩트크라샤</t>
  </si>
  <si>
    <t>2005.12.19</t>
  </si>
  <si>
    <t>032-574-6525</t>
  </si>
  <si>
    <t>2012.05.21</t>
  </si>
  <si>
    <t>죠크러샤,죠크러샤</t>
  </si>
  <si>
    <t>더블죠크러샤,콘크러샤,더블죠크라샤</t>
  </si>
  <si>
    <t>콘크러샤,콘크러샤,임팩트크러샤,콘크러샤</t>
  </si>
  <si>
    <t>(주)검단아스콘</t>
  </si>
  <si>
    <t>404-300 인천광역시 서구  도담3로 9 (오류동)</t>
  </si>
  <si>
    <t>선승한</t>
  </si>
  <si>
    <t>032-719-7000</t>
  </si>
  <si>
    <t>1차죠크라샤 100HP</t>
  </si>
  <si>
    <t>2차임팩트크라샤  120HP</t>
  </si>
  <si>
    <t>에스지이(주)경인아스콘지점</t>
  </si>
  <si>
    <t>404-300 인천광역시 서구  도담6로 19 (오류동)</t>
  </si>
  <si>
    <t>032-525-4200</t>
  </si>
  <si>
    <t>(주)삼덕</t>
  </si>
  <si>
    <t>404-300 인천광역시 서구 오류동  434-141</t>
  </si>
  <si>
    <t>장완식</t>
  </si>
  <si>
    <t>032-564-2400</t>
  </si>
  <si>
    <t>임팩트크러셔</t>
  </si>
  <si>
    <t>2012.08.21</t>
  </si>
  <si>
    <t>(주)누보켐 인천</t>
  </si>
  <si>
    <t>404-300 인천광역시 서구 오류동  검단일반산업단지 26블록 3롯트</t>
  </si>
  <si>
    <t>이봉원, 이진호</t>
  </si>
  <si>
    <t>032-517-5500</t>
  </si>
  <si>
    <t>분쇄시설2차</t>
  </si>
  <si>
    <t>케이와이PC(주)</t>
  </si>
  <si>
    <t>404-300 인천광역시 서구 오류동  검단일반산업단지2-15블럭</t>
  </si>
  <si>
    <t>조한원</t>
  </si>
  <si>
    <t>032-565-1300</t>
  </si>
  <si>
    <t>임펙트크라샤(13mm생산)</t>
  </si>
  <si>
    <t>2012.01.02</t>
  </si>
  <si>
    <t>2016.11.29</t>
  </si>
  <si>
    <t>2008.11.17</t>
  </si>
  <si>
    <t>김선철</t>
  </si>
  <si>
    <t>2014.05.22</t>
  </si>
  <si>
    <t>2021.11.30</t>
  </si>
  <si>
    <t>2008.08.25</t>
  </si>
  <si>
    <t>6. 폐기물 종합처분업체 현황</t>
  </si>
  <si>
    <t>중간처분시설현황</t>
  </si>
  <si>
    <t>최종처분시설현황</t>
  </si>
  <si>
    <t>소각시설</t>
  </si>
  <si>
    <t>기타시설</t>
  </si>
  <si>
    <t>기매립용량(2024년까지 전체 누적)(㎥)</t>
  </si>
  <si>
    <t>잔여매립
가능량(㎥)</t>
  </si>
  <si>
    <t>종류</t>
  </si>
  <si>
    <t>시설용량
(톤/일)</t>
  </si>
  <si>
    <t>처리량
(톤/년)</t>
  </si>
  <si>
    <t>면적(㎥)</t>
  </si>
  <si>
    <t>7. 폐기물처리 신고업체 현황</t>
  </si>
  <si>
    <t>가. 폐기물처리(재활용) 신고업체 현황</t>
  </si>
  <si>
    <t>처리신고대상
폐기물</t>
  </si>
  <si>
    <t>폐의류 및 원단류</t>
  </si>
  <si>
    <t>폐지, 고철, 폐포장재</t>
  </si>
  <si>
    <t>폐전기전자제품</t>
  </si>
  <si>
    <t>선별시설, 압축시설</t>
  </si>
  <si>
    <t>폐축전지</t>
  </si>
  <si>
    <t>2001, 2003</t>
  </si>
  <si>
    <t>2002, 2003</t>
  </si>
  <si>
    <t>2003, 2010</t>
  </si>
  <si>
    <t>김우열</t>
  </si>
  <si>
    <t>폐지,고철,폐포장재</t>
  </si>
  <si>
    <t>고철, 폐지</t>
  </si>
  <si>
    <t>동일자원</t>
  </si>
  <si>
    <t>폐금속캔류</t>
  </si>
  <si>
    <t>82개소</t>
  </si>
  <si>
    <t>서해대로94번길47(신흥동3가)</t>
  </si>
  <si>
    <t>폐지,폐포장재</t>
  </si>
  <si>
    <t>압축기2대</t>
  </si>
  <si>
    <t>2012.02.27</t>
  </si>
  <si>
    <t>김선화</t>
  </si>
  <si>
    <t>인천광역시 중구 백운로 175(운남동)</t>
  </si>
  <si>
    <t>없음</t>
  </si>
  <si>
    <t>032-754-1544</t>
  </si>
  <si>
    <t>국제자원</t>
  </si>
  <si>
    <t>하태년</t>
  </si>
  <si>
    <t>인천광역시 중구 운남로82번길 16(운남동)</t>
  </si>
  <si>
    <t>032-751-4199</t>
  </si>
  <si>
    <t>선미상사</t>
  </si>
  <si>
    <t>김희중</t>
  </si>
  <si>
    <t>방축로38번길 33</t>
  </si>
  <si>
    <t>폐지, 고철, 폐전선</t>
  </si>
  <si>
    <t>처리시설 없음</t>
  </si>
  <si>
    <t>032-763-3468</t>
  </si>
  <si>
    <t>삼광조선공업㈜</t>
  </si>
  <si>
    <t>보세로42번길 41</t>
  </si>
  <si>
    <t>032-763-0521</t>
  </si>
  <si>
    <t>2011.03.09</t>
  </si>
  <si>
    <t>㈜디에이치조선</t>
  </si>
  <si>
    <t>박우철</t>
  </si>
  <si>
    <t>화수부두로 52</t>
  </si>
  <si>
    <t>032-762-2878</t>
  </si>
  <si>
    <t>행운자원</t>
  </si>
  <si>
    <t>이은순</t>
  </si>
  <si>
    <t>인천 미추홀구 방축로 194, 디동 205, 206, 215, 216호 (도화동)</t>
  </si>
  <si>
    <t>032-545-2702</t>
  </si>
  <si>
    <t>빅스상사</t>
  </si>
  <si>
    <t>인천시 연수구 아암대로 499</t>
  </si>
  <si>
    <t>처음처럼</t>
  </si>
  <si>
    <t>고잔동 198-3외 1필지 1호</t>
  </si>
  <si>
    <t>고잔동 246-14</t>
  </si>
  <si>
    <t>폐지, 고철</t>
  </si>
  <si>
    <t>절단시설, 파쇄분쇄시설</t>
  </si>
  <si>
    <t>2013.08.01</t>
  </si>
  <si>
    <t>㈜하나리사이클링 제2공장</t>
  </si>
  <si>
    <t>고잔동 335-1</t>
  </si>
  <si>
    <t>폐종이팩, 폐종이류, 고철, 비철, 고철 및 금속캔류, 폐섬유류, 폐의류 및 원단류</t>
  </si>
  <si>
    <t>압축시설, 선별시설, 수선별</t>
  </si>
  <si>
    <t>032-822-0991</t>
  </si>
  <si>
    <t>인영재활용산업</t>
  </si>
  <si>
    <t>황소연</t>
  </si>
  <si>
    <t>고잔동 380</t>
  </si>
  <si>
    <t>충전시설</t>
  </si>
  <si>
    <t>032-442-4438</t>
  </si>
  <si>
    <t>032-446-8688</t>
  </si>
  <si>
    <t>2014.01.29</t>
  </si>
  <si>
    <t>기전산업㈜</t>
  </si>
  <si>
    <t>한갑수,김종원</t>
  </si>
  <si>
    <t>고잔동 726-1</t>
  </si>
  <si>
    <t>032-811-4000</t>
  </si>
  <si>
    <t>(주)미래엔텍(지점)</t>
  </si>
  <si>
    <t>고잔로 46,50</t>
  </si>
  <si>
    <t>고잔로 47-2</t>
  </si>
  <si>
    <t>압축시설
선별시설(수선별)</t>
  </si>
  <si>
    <t>㈜현대에코텍 고잔사업소</t>
  </si>
  <si>
    <t>고잔로37번길 37</t>
  </si>
  <si>
    <t>지구자원</t>
  </si>
  <si>
    <t>구대용</t>
  </si>
  <si>
    <t>고잔로41번길 29-3(고잔동)</t>
  </si>
  <si>
    <t>시설없음</t>
  </si>
  <si>
    <t>(주)대국환경기업</t>
  </si>
  <si>
    <t>박선해</t>
  </si>
  <si>
    <t>고잔로63-11(고잔동)</t>
  </si>
  <si>
    <t>032-425-6465</t>
  </si>
  <si>
    <t>㈜벙글다</t>
  </si>
  <si>
    <t>구월로40번길 29</t>
  </si>
  <si>
    <t>전자기기, 가전제품
(키오스크, 포스기, (휴대용)카드단말기, 사인패드 등)</t>
  </si>
  <si>
    <t>수작업</t>
  </si>
  <si>
    <t>032-437-3311</t>
  </si>
  <si>
    <t>㈜에스쓰리알 남동지사</t>
  </si>
  <si>
    <t>남동구 음실로 67(운연동</t>
  </si>
  <si>
    <t>032-472-5670</t>
  </si>
  <si>
    <t>논현동 442-41,47,49</t>
  </si>
  <si>
    <t>압축시설, 파쇄분쇄시설</t>
  </si>
  <si>
    <t>동화산업㈜고잔지점</t>
  </si>
  <si>
    <t>앵고개로697번길 50(고잔동)</t>
  </si>
  <si>
    <t>032-430-6000</t>
  </si>
  <si>
    <t>성지실업</t>
  </si>
  <si>
    <t>유경인</t>
  </si>
  <si>
    <t>운연로 147</t>
  </si>
  <si>
    <t>선별시설(수선별)</t>
  </si>
  <si>
    <t>㈜세마테크</t>
  </si>
  <si>
    <t>임일님, 이설희</t>
  </si>
  <si>
    <t>음실서로 61(운연동)</t>
  </si>
  <si>
    <t>폐금속캔류, 고철 및 금속캔류</t>
  </si>
  <si>
    <t>032-721-4444</t>
  </si>
  <si>
    <t>음실서로 66(운연동)</t>
  </si>
  <si>
    <t>㈜나로드니</t>
  </si>
  <si>
    <t>엄인영</t>
  </si>
  <si>
    <t>함박뫼로347번길 21</t>
  </si>
  <si>
    <t>폐섬유류, 폐의류 및 폐원단류</t>
  </si>
  <si>
    <t>폐섬유류 재활용
(수선별, 제단시설 0.4kw, 제봉시설0.75kw)</t>
  </si>
  <si>
    <t>세경자원</t>
  </si>
  <si>
    <t>김경범</t>
  </si>
  <si>
    <t>경인로1185번길 12</t>
  </si>
  <si>
    <t>폐지, 고철, 폐포장재, 폐전선</t>
  </si>
  <si>
    <t>032-330-7787</t>
  </si>
  <si>
    <t>㈜건웅</t>
  </si>
  <si>
    <t>양정록</t>
  </si>
  <si>
    <t>부평대로 283, B동 B103호</t>
  </si>
  <si>
    <t>폐배터리</t>
  </si>
  <si>
    <t>032-623-7155</t>
  </si>
  <si>
    <t>상호변경</t>
  </si>
  <si>
    <t>JnB상사</t>
  </si>
  <si>
    <t>부평대로 283, 우림라이온스밸리 C동 B126호</t>
  </si>
  <si>
    <t>032-672-6381</t>
  </si>
  <si>
    <t>대영알씨 부평지점</t>
  </si>
  <si>
    <t>부평북로 223</t>
  </si>
  <si>
    <t>㈜여해금속</t>
  </si>
  <si>
    <t>주형종</t>
  </si>
  <si>
    <t>부평북로 363, B동 5호</t>
  </si>
  <si>
    <t>032-564-4282</t>
  </si>
  <si>
    <t>고려철재</t>
  </si>
  <si>
    <t>빈옥균</t>
  </si>
  <si>
    <t>송내대로373번길 73</t>
  </si>
  <si>
    <t>032-321-5145</t>
  </si>
  <si>
    <t>선우자원</t>
  </si>
  <si>
    <t>황준수</t>
  </si>
  <si>
    <t>열우물로 161</t>
  </si>
  <si>
    <t>032-573-3738</t>
  </si>
  <si>
    <t>㈜루미산업</t>
  </si>
  <si>
    <t>서민철</t>
  </si>
  <si>
    <t>봉오대로894번길 27(서운동)</t>
  </si>
  <si>
    <t>032-288-3050</t>
  </si>
  <si>
    <t>광운리사이클링</t>
  </si>
  <si>
    <t>김선귀</t>
  </si>
  <si>
    <t>서운산업로50번길 15(서운동)</t>
  </si>
  <si>
    <t>032-541-3315</t>
  </si>
  <si>
    <t>키움산업</t>
  </si>
  <si>
    <t>서정덕</t>
  </si>
  <si>
    <t>안남로457번길 14 (효성동)</t>
  </si>
  <si>
    <t>폐합성수지
폐지류
고철류</t>
  </si>
  <si>
    <t>032-671-9888</t>
  </si>
  <si>
    <t>특임리사이클링</t>
  </si>
  <si>
    <t>안순석</t>
  </si>
  <si>
    <t>가좌동 173-470</t>
  </si>
  <si>
    <t>시설 없음</t>
  </si>
  <si>
    <t>㈜신의철강</t>
  </si>
  <si>
    <t>구자찬</t>
  </si>
  <si>
    <t>가좌동 178-260, 178-169</t>
  </si>
  <si>
    <t>032-582-9098</t>
  </si>
  <si>
    <t>현일산업㈜</t>
  </si>
  <si>
    <t>신익성</t>
  </si>
  <si>
    <t>건지로 153번길 26-9(석남동 223-635)</t>
  </si>
  <si>
    <t>032-583-1188</t>
  </si>
  <si>
    <t>2018.12.10</t>
  </si>
  <si>
    <t>대영자원㈜</t>
  </si>
  <si>
    <t>김명식</t>
  </si>
  <si>
    <t>건지로73(석남동650-69)</t>
  </si>
  <si>
    <t>032-561-0097</t>
  </si>
  <si>
    <t>2014.05.19</t>
  </si>
  <si>
    <t>㈜드림산업 인천지점</t>
  </si>
  <si>
    <t>노성호</t>
  </si>
  <si>
    <t>검단로188번길 19 (오류동 421)</t>
  </si>
  <si>
    <t>폐지류, 폐합성수지</t>
  </si>
  <si>
    <t>홍종권</t>
  </si>
  <si>
    <t>검단로188번길 33 외1필지</t>
  </si>
  <si>
    <t>폐발포합성수지(폐스티로폼)(51-03-06)</t>
  </si>
  <si>
    <t>파쇄시설, 용융시설</t>
  </si>
  <si>
    <t>제이엔제이산업㈜</t>
  </si>
  <si>
    <t>금곡동 336-8</t>
  </si>
  <si>
    <t>폐지, 고철, 폐포장재(금속캔, 합성수지 재질의 포장재)</t>
  </si>
  <si>
    <t>(주)리사이클한강</t>
  </si>
  <si>
    <t>금산로7번길 12(경서동 서부자원순환특화산업단지 A2-7)</t>
  </si>
  <si>
    <t>2020.09.11</t>
  </si>
  <si>
    <t>태원자원</t>
  </si>
  <si>
    <t>금창용</t>
  </si>
  <si>
    <t>길무로 191, 가동(오류동)</t>
  </si>
  <si>
    <t>폐지, 고철,유리병, 종이팩, 금속캔, 합성수지재질의 포장재 등, 폐전선, 폐가전제품(소형가전), 폐의류</t>
  </si>
  <si>
    <t>처리량 오기로 정정</t>
  </si>
  <si>
    <t>㈜경진철강지점</t>
  </si>
  <si>
    <t>조장희</t>
  </si>
  <si>
    <t>길무로 216-7(오류동)</t>
  </si>
  <si>
    <t>고철(51-29-01)</t>
  </si>
  <si>
    <t>절단시설 400HPX1</t>
  </si>
  <si>
    <t>032-569-4511</t>
  </si>
  <si>
    <t>경인그린텍㈜
지점</t>
  </si>
  <si>
    <t>두루물로 86(오류동)</t>
  </si>
  <si>
    <t>부림인더스트리㈜</t>
  </si>
  <si>
    <t>두루물로96번길 26
(오류동)</t>
  </si>
  <si>
    <t>폐포장재(합성수지재질의 포장재)</t>
  </si>
  <si>
    <t>032-553-0744</t>
  </si>
  <si>
    <t>마전동 632-1</t>
  </si>
  <si>
    <t>폐포장재(금속캔), 폐의류, 폐발포합성수지</t>
  </si>
  <si>
    <t>2015.02.17</t>
  </si>
  <si>
    <t>㈜장원금속</t>
  </si>
  <si>
    <t>이찬우</t>
  </si>
  <si>
    <t>마전동 632-6</t>
  </si>
  <si>
    <t>032-561-1405</t>
  </si>
  <si>
    <t>㈜지에스티에스원</t>
  </si>
  <si>
    <t>황성길</t>
  </si>
  <si>
    <t>보도진로 100-51(가좌동)</t>
  </si>
  <si>
    <t>축산물가공잔재물(51-17-02)</t>
  </si>
  <si>
    <t>농축시설</t>
  </si>
  <si>
    <t>2017.08.17</t>
  </si>
  <si>
    <t>㈜해천자원</t>
  </si>
  <si>
    <t>유정식</t>
  </si>
  <si>
    <t>보도진로 90(가좌동)</t>
  </si>
  <si>
    <t>폐지,고철,폐포장재(폐합성용기류, 금속캔, 유리병)</t>
  </si>
  <si>
    <t>032-423-6391</t>
  </si>
  <si>
    <t>2012.07.05</t>
  </si>
  <si>
    <t>㈜유진스틸</t>
  </si>
  <si>
    <t>보듬1로 44(오류동)</t>
  </si>
  <si>
    <t>고철, 비철</t>
  </si>
  <si>
    <t>032-563-6447</t>
  </si>
  <si>
    <t>드림이앤아이</t>
  </si>
  <si>
    <t>봉수대로 1344-20(왕길동 169)</t>
  </si>
  <si>
    <t>봉수대로1394번길
32(왕길동)]</t>
  </si>
  <si>
    <t>금속캔, 고철, 비철금속, 폐지, 폐포장재(합성수지 재질의 포장재, 유리병), 폐의류</t>
  </si>
  <si>
    <t>대한강업㈜</t>
  </si>
  <si>
    <t>사렴로65번길 19(경서동)</t>
  </si>
  <si>
    <t>032-561-5900</t>
  </si>
  <si>
    <t>경인케미컬</t>
  </si>
  <si>
    <t>윤순화</t>
  </si>
  <si>
    <t>사월로2, 가동</t>
  </si>
  <si>
    <t>032-569-3057</t>
  </si>
  <si>
    <t>석남동 223-604</t>
  </si>
  <si>
    <t>032-511-7791</t>
  </si>
  <si>
    <t>2014.02.19</t>
  </si>
  <si>
    <t>남일상사</t>
  </si>
  <si>
    <t>김찬례</t>
  </si>
  <si>
    <t>오류동 434-373, 434-374, 434-376</t>
  </si>
  <si>
    <t>폐지, 고철, 폐포장재(종이팩, 유리병, 금속캔, 합성수지 재질의 포장재 및 1회용봉투, 쇼핑백)</t>
  </si>
  <si>
    <t>032-567-2559</t>
  </si>
  <si>
    <t>㈜청룡자원</t>
  </si>
  <si>
    <t>유현정</t>
  </si>
  <si>
    <t>오류동 434-42</t>
  </si>
  <si>
    <t>- 폐지, 고철 , 폐포장재[종이팩, 유리병, 금속캔 , 필름·시트형 합성수지 포장재 , 발포합성수지(폐스티로폼)] 
- 폐의류
- 폐전선</t>
  </si>
  <si>
    <t>2010, 2003, 2002</t>
  </si>
  <si>
    <t>032-565-1015</t>
  </si>
  <si>
    <t>오류동 434-496</t>
  </si>
  <si>
    <t>032-565-7441</t>
  </si>
  <si>
    <t>경인리싸이클링㈜</t>
  </si>
  <si>
    <t>배한웅</t>
  </si>
  <si>
    <t>오류동 434-62</t>
  </si>
  <si>
    <t>032-565-1085</t>
  </si>
  <si>
    <t>2013.08.27</t>
  </si>
  <si>
    <t>㈜부활</t>
  </si>
  <si>
    <t>박찬혁</t>
  </si>
  <si>
    <t>오류동 434-72</t>
  </si>
  <si>
    <t>폐지. 고철, 종이팩, 유리병, 금속캔,합성수지 재질의 포장재, 폐의류, 폐전선, 폐가전제품</t>
  </si>
  <si>
    <t>032-565-8580</t>
  </si>
  <si>
    <t>㈜중부자원</t>
  </si>
  <si>
    <t>유현덕</t>
  </si>
  <si>
    <t>오류동 434-77</t>
  </si>
  <si>
    <t>폐의류
폐지</t>
  </si>
  <si>
    <t>032-565-3885</t>
  </si>
  <si>
    <t>㈜환영무역</t>
  </si>
  <si>
    <t>오류동 434-87</t>
  </si>
  <si>
    <t>지구이앤에스㈜지점</t>
  </si>
  <si>
    <t>오류동 434-99</t>
  </si>
  <si>
    <t>2018.04.17</t>
  </si>
  <si>
    <t>㈜그린비철
(구 ㈜탑캔)</t>
  </si>
  <si>
    <t>왕길동 38, 38-3번지</t>
  </si>
  <si>
    <t>금속캔</t>
  </si>
  <si>
    <t>032-564-6206</t>
  </si>
  <si>
    <t>㈜도나스틸</t>
  </si>
  <si>
    <t>최병돈</t>
  </si>
  <si>
    <t>원당대로 117번길57(오류동370-8)</t>
  </si>
  <si>
    <t>032-566-6020</t>
  </si>
  <si>
    <t>정영곤</t>
  </si>
  <si>
    <t>원당대로 228-10(오류동)</t>
  </si>
  <si>
    <t>금속캔, 폐의류</t>
  </si>
  <si>
    <t>032-263-0008</t>
  </si>
  <si>
    <t>㈜성인 인천공장</t>
  </si>
  <si>
    <t>원당대로 262번길17(오류동 434-98)</t>
  </si>
  <si>
    <t>폐유리병</t>
  </si>
  <si>
    <t>031-771-9230</t>
  </si>
  <si>
    <t>2019.06.05</t>
  </si>
  <si>
    <t>㈜시에프엠커머스</t>
  </si>
  <si>
    <t>인천 서구 두루물로 96번길 7, 나동(오류동)</t>
  </si>
  <si>
    <t>압축시설 15kw x 1</t>
  </si>
  <si>
    <t>이지명</t>
  </si>
  <si>
    <t>장고개로 117번길 38 (가좌동,인천지방산업단지)</t>
  </si>
  <si>
    <t>폐지,고철</t>
  </si>
  <si>
    <t>대길농장</t>
  </si>
  <si>
    <t>김규영</t>
  </si>
  <si>
    <t>길상면 길직리 245-1</t>
  </si>
  <si>
    <t>불은면 고려왕릉로 394</t>
  </si>
  <si>
    <t>032-937-3897</t>
  </si>
  <si>
    <t>불은농장</t>
  </si>
  <si>
    <t>김정일</t>
  </si>
  <si>
    <t>불은면 삼동암길 141-1</t>
  </si>
  <si>
    <t>소망농장</t>
  </si>
  <si>
    <t>불은면 삼동암리 1074-5</t>
  </si>
  <si>
    <t>규임농장</t>
  </si>
  <si>
    <t>임규임</t>
  </si>
  <si>
    <t>불은면 해안동로341번길 80-34</t>
  </si>
  <si>
    <t>윤기성</t>
  </si>
  <si>
    <t>선원면 중앙로 380</t>
  </si>
  <si>
    <t>고철, 파지</t>
  </si>
  <si>
    <t>032-932-8263</t>
  </si>
  <si>
    <t>대흥농장</t>
  </si>
  <si>
    <t>방윤호</t>
  </si>
  <si>
    <t>양도면 도장리 829-1</t>
  </si>
  <si>
    <t>1001, 1003</t>
  </si>
  <si>
    <t>폐지, 고철, 폐포장재, 폐의류</t>
  </si>
  <si>
    <t>김인호</t>
  </si>
  <si>
    <t>김용식</t>
  </si>
  <si>
    <t>2016.01.28</t>
  </si>
  <si>
    <t>폐의류, 폐전기전자제품</t>
  </si>
  <si>
    <t>2010.11.23</t>
  </si>
  <si>
    <t>폐의류, 폐가전제품</t>
  </si>
  <si>
    <t>김찬기</t>
  </si>
  <si>
    <t>폐가전제품, 폐의류</t>
  </si>
  <si>
    <t>고철(비철)</t>
  </si>
  <si>
    <t>2009, 2010</t>
  </si>
  <si>
    <t>박민수</t>
  </si>
  <si>
    <t>강덕훈</t>
  </si>
  <si>
    <t>2004.11.02</t>
  </si>
  <si>
    <t>이재우</t>
  </si>
  <si>
    <t>분쇄</t>
  </si>
  <si>
    <t>폐지, 고철, 폐포장재, 폐전선, 폐가전제품, 폐섬유, 폐의류</t>
  </si>
  <si>
    <t>2014.02.07</t>
  </si>
  <si>
    <t>1999.11.29</t>
  </si>
  <si>
    <t>공단수지</t>
  </si>
  <si>
    <t>2014.02.05</t>
  </si>
  <si>
    <t>박정규</t>
  </si>
  <si>
    <t>2013.02.25</t>
  </si>
  <si>
    <t>2011.11.07</t>
  </si>
  <si>
    <t>그 밖의 폐전기전자제품류</t>
  </si>
  <si>
    <t>2012.06.19</t>
  </si>
  <si>
    <t>절단</t>
  </si>
  <si>
    <t>2015.02.09</t>
  </si>
  <si>
    <t>퇴비화 시설</t>
  </si>
  <si>
    <t>송재우</t>
  </si>
  <si>
    <t>2011.11.30</t>
  </si>
  <si>
    <t>2022.07.15</t>
  </si>
  <si>
    <t>2017.06.15</t>
  </si>
  <si>
    <t>파쇄</t>
  </si>
  <si>
    <t>폐의류 및 원단류, 폐지류, 고철 및 금속캔류</t>
  </si>
  <si>
    <t>2010.04.15</t>
  </si>
  <si>
    <t>압축ㆍ압출ㆍ성형ㆍ주조시설</t>
  </si>
  <si>
    <t>파쇄ㆍ분쇄ㆍ탈피 시설</t>
  </si>
  <si>
    <t>2015.08.18</t>
  </si>
  <si>
    <t>2018.04.30</t>
  </si>
  <si>
    <t>나. 폐기물처리(수집운반) 신고업체 현황</t>
  </si>
  <si>
    <t>수집·운반대상 폐기물</t>
  </si>
  <si>
    <t>보유차량대수</t>
  </si>
  <si>
    <t>적재능력합계</t>
  </si>
  <si>
    <t>(대)</t>
  </si>
  <si>
    <t>(톤)</t>
  </si>
  <si>
    <t>1회용컵</t>
  </si>
  <si>
    <t>강원유지</t>
  </si>
  <si>
    <t>조은유지</t>
  </si>
  <si>
    <t>오성자원</t>
  </si>
  <si>
    <t>2021.10.25</t>
  </si>
  <si>
    <t>대성유통</t>
  </si>
  <si>
    <t>122개소</t>
  </si>
  <si>
    <t>대한민국특수임무유공자회 인천지부</t>
  </si>
  <si>
    <t>홍광식</t>
  </si>
  <si>
    <t>제물량로 207(항동4가)</t>
  </si>
  <si>
    <t>032-818-3691</t>
  </si>
  <si>
    <t>공성타이어㈜</t>
  </si>
  <si>
    <t>정경주</t>
  </si>
  <si>
    <t>제물량로24번길17(신흥동3가)</t>
  </si>
  <si>
    <t>032-883-2490</t>
  </si>
  <si>
    <t>1996.08.12</t>
  </si>
  <si>
    <t>원구자원</t>
  </si>
  <si>
    <t>안원구</t>
  </si>
  <si>
    <t>제물량로92번길 4</t>
  </si>
  <si>
    <t>유민철강산업㈜ 지점</t>
  </si>
  <si>
    <t>하늘달빛로64번길 6-3, 5층 504호 내 J-16호(중산동, 스카이 메디컬 프라자)</t>
  </si>
  <si>
    <t>방축로 38번길 33</t>
  </si>
  <si>
    <t>자동차폐타이어, 가정용 폐전기전자제품, 폐의류 및 원단류</t>
  </si>
  <si>
    <t>엠제이리사이클링</t>
  </si>
  <si>
    <t>서일</t>
  </si>
  <si>
    <t>이시형</t>
  </si>
  <si>
    <t>방축로9번길 39-14</t>
  </si>
  <si>
    <t>가정용폐전기전자제품,
폐의류</t>
  </si>
  <si>
    <t>샛골로184번길 12</t>
  </si>
  <si>
    <t>선진타이어</t>
  </si>
  <si>
    <t>아암대로253번길 88(학익동)</t>
  </si>
  <si>
    <t>폐축전지, 폐타이어</t>
  </si>
  <si>
    <t>032-833-8701</t>
  </si>
  <si>
    <t>근호유통</t>
  </si>
  <si>
    <t>박수천</t>
  </si>
  <si>
    <t>인천광역시 미추홀구
 인하로 292</t>
  </si>
  <si>
    <t>송수정</t>
  </si>
  <si>
    <t>인천광역시 미추홀구 
동주길94번길8</t>
  </si>
  <si>
    <t>제이애이치(JH)
유통</t>
  </si>
  <si>
    <t>인천광역시 미추홀구 
매소홀로 143</t>
  </si>
  <si>
    <t>정현유통</t>
  </si>
  <si>
    <t>인천광역시 미추홀구 
인주대로445번길17</t>
  </si>
  <si>
    <t>제이엠 리사이클링</t>
  </si>
  <si>
    <t>윤명준</t>
  </si>
  <si>
    <t>인천광역시 연수구 계림로 83-4, 401호 (청학동)</t>
  </si>
  <si>
    <t>인천광역시 연수구 샘말로21번길 14-11, 지하1층 (연수동)</t>
  </si>
  <si>
    <t>폐의류
그 밖의 폐섬유
폐전기전자제품</t>
  </si>
  <si>
    <t>준자원</t>
  </si>
  <si>
    <t>인천광역시 연수구 원인재로 232, 101동 703호 (연수동)</t>
  </si>
  <si>
    <t>인천연수지역자활센터</t>
  </si>
  <si>
    <t>인천광역시 연수구 청명로3번길 8-5 (청학동)</t>
  </si>
  <si>
    <t>폐식용유
그 밖의 생활폐기물(1회용컵)</t>
  </si>
  <si>
    <t>032-816-1995</t>
  </si>
  <si>
    <t>현대바이오</t>
  </si>
  <si>
    <t>박순화</t>
  </si>
  <si>
    <t>인천광역시 연수구 청솔로30번길 15 (청학동)</t>
  </si>
  <si>
    <t>032-811-5182</t>
  </si>
  <si>
    <t>2023.12.07</t>
  </si>
  <si>
    <t>전병훈</t>
  </si>
  <si>
    <t>인천광역시 연수구 청학로6번길 66, 301호 (청학동)</t>
  </si>
  <si>
    <t>㈜대국환경기업 인천지점</t>
  </si>
  <si>
    <t>고잔동 382-24,-25</t>
  </si>
  <si>
    <t>폐지,고철,폐포장재,폐타이어,폐가전제품,폐섬유,폐의류</t>
  </si>
  <si>
    <t>고잔로 51번길 6</t>
  </si>
  <si>
    <t>고잔로 61번길 20</t>
  </si>
  <si>
    <t>032-422-4438</t>
  </si>
  <si>
    <t>지우자원</t>
  </si>
  <si>
    <t>고잔로21번길 17(고잔동)</t>
  </si>
  <si>
    <t>제이에스그린(주)남동지사</t>
  </si>
  <si>
    <t>고잔로51번길 6, 2층 나동</t>
  </si>
  <si>
    <t>070-7760-6204</t>
  </si>
  <si>
    <t>폐타이어, 폐의류, 폐의류 및 폐원단류,폐전기전제품</t>
  </si>
  <si>
    <t>고잔로73번길 5 (고잔동)</t>
  </si>
  <si>
    <t>폐의류(생활폐기물)</t>
  </si>
  <si>
    <t>㈜미래엔텍(지점)</t>
  </si>
  <si>
    <t>남동구 고잔로 50</t>
  </si>
  <si>
    <t>소유홈</t>
  </si>
  <si>
    <t>전경진</t>
  </si>
  <si>
    <t>남동구 논현로 45</t>
  </si>
  <si>
    <t>폐식용유
(생활폐기물에 해당하는 폐식용유를 유출될 우려가 없는 전용의 탱크？용기로 수집？운반하는 경우만 해당)</t>
  </si>
  <si>
    <t>한얼교역</t>
  </si>
  <si>
    <t>연규한</t>
  </si>
  <si>
    <t>남동구 도림북로16번길 29</t>
  </si>
  <si>
    <t>인천남동지역자활센터</t>
  </si>
  <si>
    <t>김인경</t>
  </si>
  <si>
    <t>남동구 만수로 12-6</t>
  </si>
  <si>
    <t>032-464-4319</t>
  </si>
  <si>
    <t>오일마트</t>
  </si>
  <si>
    <t>유선범</t>
  </si>
  <si>
    <t>남동구 서창남순환로 124-14</t>
  </si>
  <si>
    <t>세광산업</t>
  </si>
  <si>
    <t>이융재</t>
  </si>
  <si>
    <t>남동구 서창남순환로 200</t>
  </si>
  <si>
    <t>가을향기1</t>
  </si>
  <si>
    <t>최수혁</t>
  </si>
  <si>
    <t>남동구 에코중앙로 25-10, 에이동</t>
  </si>
  <si>
    <t>정일자원</t>
  </si>
  <si>
    <t>이기봉</t>
  </si>
  <si>
    <t>남동구 장도로 20</t>
  </si>
  <si>
    <t>남동구 청능대로468번길 23</t>
  </si>
  <si>
    <t>남동대로262번길 30-43 (논현동)</t>
  </si>
  <si>
    <t>김낙녀</t>
  </si>
  <si>
    <t>논곡로 58, 3층</t>
  </si>
  <si>
    <t>조이코퍼레이션</t>
  </si>
  <si>
    <t>김장진</t>
  </si>
  <si>
    <t>논현고잔로54번길 58, 일부(고잔동)</t>
  </si>
  <si>
    <t>폐축전지(손상되지 아니한 상태로서 폐황산이 
  유출되지 아니하는 경우만 해당한다)</t>
  </si>
  <si>
    <t>우리유지</t>
  </si>
  <si>
    <t>남태우</t>
  </si>
  <si>
    <t>담방로21번길 24</t>
  </si>
  <si>
    <t>032-464-0230</t>
  </si>
  <si>
    <t>서창바이오</t>
  </si>
  <si>
    <t>서창남순환로 190-15</t>
  </si>
  <si>
    <t>쿠킹케어</t>
  </si>
  <si>
    <t>정관철</t>
  </si>
  <si>
    <t>서창남순환로110, 304동 1301호</t>
  </si>
  <si>
    <t>선수촌공원로23번길11</t>
  </si>
  <si>
    <t>명인자원</t>
  </si>
  <si>
    <t>수골로 103(도림동)</t>
  </si>
  <si>
    <t>푸른유통</t>
  </si>
  <si>
    <t>김재식</t>
  </si>
  <si>
    <t>운연로 150 01호</t>
  </si>
  <si>
    <t>유진</t>
  </si>
  <si>
    <t>운연로 150 02호</t>
  </si>
  <si>
    <t>경원유지</t>
  </si>
  <si>
    <t>운연로 150 03호</t>
  </si>
  <si>
    <t>운연로 150 04호</t>
  </si>
  <si>
    <t>미소유통</t>
  </si>
  <si>
    <t>운연로 150 05호</t>
  </si>
  <si>
    <t>연화유통</t>
  </si>
  <si>
    <t>한창영</t>
  </si>
  <si>
    <t>운연로 150 06호</t>
  </si>
  <si>
    <t>지현유통</t>
  </si>
  <si>
    <t>박영석</t>
  </si>
  <si>
    <t>운연로 150 07호</t>
  </si>
  <si>
    <t>재영유지</t>
  </si>
  <si>
    <t>양재영</t>
  </si>
  <si>
    <t>운연로 150 08호</t>
  </si>
  <si>
    <t>희정유지</t>
  </si>
  <si>
    <t>남만우</t>
  </si>
  <si>
    <t>운연로 150 09호</t>
  </si>
  <si>
    <t>경기유지</t>
  </si>
  <si>
    <t>이대건</t>
  </si>
  <si>
    <t>운연로 150 10호</t>
  </si>
  <si>
    <t>미현바이오</t>
  </si>
  <si>
    <t>최춘석</t>
  </si>
  <si>
    <t>운연로 150 11호</t>
  </si>
  <si>
    <t>승리유지</t>
  </si>
  <si>
    <t>이승욱</t>
  </si>
  <si>
    <t>운연로 150 12호</t>
  </si>
  <si>
    <t>글로벌유통</t>
  </si>
  <si>
    <t>장만길</t>
  </si>
  <si>
    <t>운연로 150 14호</t>
  </si>
  <si>
    <t>㈜동광유지</t>
  </si>
  <si>
    <t>박수근</t>
  </si>
  <si>
    <t>음실로 81(운연동)</t>
  </si>
  <si>
    <t>2016.12.04</t>
  </si>
  <si>
    <t>㈜에스제이바이오</t>
  </si>
  <si>
    <t>김청운</t>
  </si>
  <si>
    <t>음실로75번길 42</t>
  </si>
  <si>
    <t>032-465-6017</t>
  </si>
  <si>
    <t>(주)대경이노텍</t>
  </si>
  <si>
    <t>허동욱, 김현주</t>
  </si>
  <si>
    <t>음실서로 61-2</t>
  </si>
  <si>
    <t>032-467-4872</t>
  </si>
  <si>
    <t>㈜성규푸드시스템 인천</t>
  </si>
  <si>
    <t>홍성희</t>
  </si>
  <si>
    <t>㈜현대비앤디</t>
  </si>
  <si>
    <t>바삭한이야기</t>
  </si>
  <si>
    <t>연보라</t>
  </si>
  <si>
    <t>032-464-4567</t>
  </si>
  <si>
    <t>㈜성규푸드시스템</t>
  </si>
  <si>
    <t>음실서로 61-2, 2층(운연동)</t>
  </si>
  <si>
    <t>폐축전지, 폐변압기(손상되지 아니한 상태로서 폐황산이나 폐절연유가
  유출되지 아니하는 경우만 해당한다)</t>
  </si>
  <si>
    <t>(주)동호철재</t>
  </si>
  <si>
    <t>한길남</t>
  </si>
  <si>
    <t>청능대로484번길 8-14(고잔동)</t>
  </si>
  <si>
    <t>032-816-5916</t>
  </si>
  <si>
    <t>㈜서한상사</t>
  </si>
  <si>
    <t>한상애</t>
  </si>
  <si>
    <t>청능대로718번길 31(논현동, 3층)</t>
  </si>
  <si>
    <t>032-421-2328</t>
  </si>
  <si>
    <t>홍순만</t>
  </si>
  <si>
    <t>하촌로 40-6, 303호</t>
  </si>
  <si>
    <t>폐식용유 수집운반(가정 및 음식점에서 분리배출된 것을 말한다)</t>
  </si>
  <si>
    <t>으뜸과 버금</t>
  </si>
  <si>
    <t>최강한</t>
  </si>
  <si>
    <t>호구포로 764번길 65-24,</t>
  </si>
  <si>
    <t>신성일</t>
  </si>
  <si>
    <t>동암산로 22</t>
  </si>
  <si>
    <t>마장로31번길 51, 11동 B01호(십정동, 백운빌라)</t>
  </si>
  <si>
    <t>일억금속</t>
  </si>
  <si>
    <t>정명윤</t>
  </si>
  <si>
    <t>부평대로 283, 우림라이온스밸리 C동 B125호</t>
  </si>
  <si>
    <t>세은유통</t>
  </si>
  <si>
    <t>부평북로 431, 101동 1204호(삼산동, 삼산주공미래타운1단지)</t>
  </si>
  <si>
    <t>최경식</t>
  </si>
  <si>
    <t>안남로222번길 30, 102동 203호(산곡동, 경남아파트)</t>
  </si>
  <si>
    <t>김병</t>
  </si>
  <si>
    <t>원적로 361, 107동 1101호(산곡동, 한화아파트)</t>
  </si>
  <si>
    <t>계양문화로59번길 13, 1005호 (계산동)</t>
  </si>
  <si>
    <t>032-548-8704</t>
  </si>
  <si>
    <t>행복푸드</t>
  </si>
  <si>
    <t>길마로 83, 201동 301호 (효성동)</t>
  </si>
  <si>
    <t>연우자원</t>
  </si>
  <si>
    <t>까치말로16번길 5, 603호 (작전동)</t>
  </si>
  <si>
    <t>제이엔제이산업</t>
  </si>
  <si>
    <t>전진경</t>
  </si>
  <si>
    <t>까치말로29번길 9-1, 304호 (작전동)</t>
  </si>
  <si>
    <t>032-549-4931</t>
  </si>
  <si>
    <t>유한자원</t>
  </si>
  <si>
    <t>고종석</t>
  </si>
  <si>
    <t>까치말로6번길 35-1, B동 206호 (작전동)</t>
  </si>
  <si>
    <t>정보무역</t>
  </si>
  <si>
    <t>당미1길 11, 502호 (동양동)</t>
  </si>
  <si>
    <t>지금유지</t>
  </si>
  <si>
    <t>이상규</t>
  </si>
  <si>
    <t>도두리로 52, 505동 1604호</t>
  </si>
  <si>
    <t>동물성 잔재물
그 밖의 식물성 잔재물</t>
  </si>
  <si>
    <t>2023.03.15</t>
  </si>
  <si>
    <t>계양자원</t>
  </si>
  <si>
    <t>전상익</t>
  </si>
  <si>
    <t>박촌로 19, 102동 204호(방축동)</t>
  </si>
  <si>
    <t>그 밖의 폐타이어, 폐의류 및 원단류, 폐전기전자제품</t>
  </si>
  <si>
    <t>서운그린텍</t>
  </si>
  <si>
    <t>봉오대로894번길 48-22</t>
  </si>
  <si>
    <t>폐의류 및 원단류
폐전기전자제품</t>
  </si>
  <si>
    <t>인천계양지역자활센터 가온</t>
  </si>
  <si>
    <t>피영애</t>
  </si>
  <si>
    <t>아나지로 424번길 13, 1층(작전동)</t>
  </si>
  <si>
    <t>동물성 잔재물
식물성 잔재물</t>
  </si>
  <si>
    <t>032-543-3370</t>
  </si>
  <si>
    <t>방동근</t>
  </si>
  <si>
    <t>주부토로532번길 42, 3동 403호 (계산동)</t>
  </si>
  <si>
    <t>엘티메탈㈜</t>
  </si>
  <si>
    <t>노석호</t>
  </si>
  <si>
    <t>가좌동 173-89</t>
  </si>
  <si>
    <t>032-576-1153</t>
  </si>
  <si>
    <t>지케이협동조합</t>
  </si>
  <si>
    <t>검단로501번길 44, 2동 606호</t>
  </si>
  <si>
    <t>폐의류,폐가전제품</t>
  </si>
  <si>
    <t>032-561-4406</t>
  </si>
  <si>
    <t>방영훈</t>
  </si>
  <si>
    <t>길무로177번길18(오류동434-234)</t>
  </si>
  <si>
    <t>032-675-3624</t>
  </si>
  <si>
    <t>폐지,고철,폐포장재,폐전선,폐의류,폐가전제품</t>
  </si>
  <si>
    <t>㈜성민비철금속</t>
  </si>
  <si>
    <t>최옥란</t>
  </si>
  <si>
    <t>오류동 1615-2</t>
  </si>
  <si>
    <t>032-572-5618</t>
  </si>
  <si>
    <t>폐의류, 폐가전제품,고철, 폐지, 폐포장재(합성수지재질 포장재, 유리병, 종이팩, 금속캔)</t>
  </si>
  <si>
    <t>대일상사(서구 의류재활용협회)</t>
  </si>
  <si>
    <t>정재문</t>
  </si>
  <si>
    <t>오류동 434-87(협회공동사무실)</t>
  </si>
  <si>
    <t>드림자원(서구 의류재활용협회)</t>
  </si>
  <si>
    <t>나광수</t>
  </si>
  <si>
    <t>삼성자원(서구 의류재활용협회)</t>
  </si>
  <si>
    <t>삼현상사(서구 의류재활용협회)</t>
  </si>
  <si>
    <t>강내희</t>
  </si>
  <si>
    <t>상원자원(서구 의류재활용협회)</t>
  </si>
  <si>
    <t>선진환경(서구 의류재활용협회)</t>
  </si>
  <si>
    <t>우순규</t>
  </si>
  <si>
    <t>오성자원(서구 의류재활용협회)</t>
  </si>
  <si>
    <t>임득재</t>
  </si>
  <si>
    <t>운연환경(서구 의류재활용협회)</t>
  </si>
  <si>
    <t>최대호</t>
  </si>
  <si>
    <t>인영자원</t>
  </si>
  <si>
    <t>장기순</t>
  </si>
  <si>
    <t>오류동 688-1</t>
  </si>
  <si>
    <t>032-565-2616</t>
  </si>
  <si>
    <t>주식회사 피씨앤이앤지</t>
  </si>
  <si>
    <t>유혜진</t>
  </si>
  <si>
    <t>완정로159, 5층 504호(중 512호)(왕길동)</t>
  </si>
  <si>
    <t>폐가전제품, 폐섬유, 폐의류, 폐축전지</t>
  </si>
  <si>
    <t>완정로65번안길 40(마전동)</t>
  </si>
  <si>
    <t>㈜디에이치푸드시스템</t>
  </si>
  <si>
    <t>곽대훈</t>
  </si>
  <si>
    <t>왕길동 19, 2동</t>
  </si>
  <si>
    <t>032-527-7977</t>
  </si>
  <si>
    <t>폐의류, 폐가전제품, 폐지, 고철, 폐포장재, 폐전선</t>
  </si>
  <si>
    <t>2016.03.10</t>
  </si>
  <si>
    <t>주식회사 티라레</t>
  </si>
  <si>
    <t>원당대로 676, 제일아이조움 802(802-7)호(당하동)</t>
  </si>
  <si>
    <t>원당동 825-7 삼경프라자401호</t>
  </si>
  <si>
    <t>032-563-3220</t>
  </si>
  <si>
    <t>인천 서구 길주로 79, 8542호</t>
  </si>
  <si>
    <t>폐지, 금속 및 고철캔, 폐합성수지, 폐의류, 폐가전제품</t>
  </si>
  <si>
    <t>인천 서구 도담6로11(오류동)</t>
  </si>
  <si>
    <t>폐지류, 금속 및 고철캔류, 폐합성수지, 유리병, 폐의류, 폐전자제품</t>
  </si>
  <si>
    <t>서보자원</t>
  </si>
  <si>
    <t>이창심</t>
  </si>
  <si>
    <t>인천 서구 두루물로48번길30</t>
  </si>
  <si>
    <t>이엔아이엔씨</t>
  </si>
  <si>
    <t>인천 서구 봉수대로 1268, 102, 103호</t>
  </si>
  <si>
    <t>인천시재활용의류협동조합</t>
  </si>
  <si>
    <t>인천 서구 사월로 73-15</t>
  </si>
  <si>
    <t>제이자원</t>
  </si>
  <si>
    <t>이정필</t>
  </si>
  <si>
    <t>인천 서구 사월로 73-15(왕길동)</t>
  </si>
  <si>
    <t>종복개별화물</t>
  </si>
  <si>
    <t>천종복</t>
  </si>
  <si>
    <t>인천 서구 완정로 158, 중앙빌딩 7층 745호(마전동)</t>
  </si>
  <si>
    <t>인천서구지역자활센터</t>
  </si>
  <si>
    <t>조영정</t>
  </si>
  <si>
    <t>인천 서구 원창로 76</t>
  </si>
  <si>
    <t>식물성잔재물(커피찌꺼기)</t>
  </si>
  <si>
    <t>032-569-1491</t>
  </si>
  <si>
    <t>(주)영주자원</t>
  </si>
  <si>
    <t>인천 서구 중봉대로 146(가좌동)</t>
  </si>
  <si>
    <t>2024.04.05</t>
  </si>
  <si>
    <t>인천시서구보훈단체협의회</t>
  </si>
  <si>
    <t>강용희</t>
  </si>
  <si>
    <t>인천 서구 탁옥로73번길30</t>
  </si>
  <si>
    <t>032-566-8803</t>
  </si>
  <si>
    <t>삼성다복자원</t>
  </si>
  <si>
    <t>길진남</t>
  </si>
  <si>
    <t>중봉대로 759, C동 2층 203-1호</t>
  </si>
  <si>
    <t>다우자원</t>
  </si>
  <si>
    <t>윤해경</t>
  </si>
  <si>
    <t>중봉대로 759, C동 2층 203-2호</t>
  </si>
  <si>
    <t>조병수</t>
  </si>
  <si>
    <t>2019.06.21</t>
  </si>
  <si>
    <t>2013.09.23</t>
  </si>
  <si>
    <t>이슬</t>
  </si>
  <si>
    <t>박준수</t>
  </si>
  <si>
    <t>미래</t>
  </si>
  <si>
    <t>삼덕금속㈜</t>
  </si>
  <si>
    <t>2018.08.24</t>
  </si>
  <si>
    <t>태영상사</t>
  </si>
  <si>
    <t>이상훈</t>
  </si>
  <si>
    <t>2013.04.12</t>
  </si>
  <si>
    <t>미래상사</t>
  </si>
  <si>
    <t>정주영</t>
  </si>
  <si>
    <t>8. 폐기물 재활용처리업체 현황</t>
  </si>
  <si>
    <t>가. 중간재활용업체 현황</t>
  </si>
  <si>
    <t>㈜익선</t>
  </si>
  <si>
    <t>만석부두로7번길 15-17</t>
  </si>
  <si>
    <t>032-764-5563</t>
  </si>
  <si>
    <t>인중로 427</t>
  </si>
  <si>
    <t>2002, 2011</t>
  </si>
  <si>
    <t>㈜아이원환경</t>
  </si>
  <si>
    <t>황태근</t>
  </si>
  <si>
    <t>032-773-7613</t>
  </si>
  <si>
    <t>고잔로 50</t>
  </si>
  <si>
    <t>압축시설
파쇄시설</t>
  </si>
  <si>
    <t>고잔로 58-20</t>
  </si>
  <si>
    <t>고잔로 61</t>
  </si>
  <si>
    <t>분쇄, 선별</t>
  </si>
  <si>
    <t>재이아이메탈</t>
  </si>
  <si>
    <t>공은주</t>
  </si>
  <si>
    <t>고잔로 83-13</t>
  </si>
  <si>
    <t>파쇄,</t>
  </si>
  <si>
    <t>세운리싸이클</t>
  </si>
  <si>
    <t>송선아</t>
  </si>
  <si>
    <t>고잔로 88-1</t>
  </si>
  <si>
    <t>정제,용해,반응시설</t>
  </si>
  <si>
    <t>032-429-8613</t>
  </si>
  <si>
    <t>㈜나노메탈</t>
  </si>
  <si>
    <t>엄정식</t>
  </si>
  <si>
    <t>고잔로41번길 18-11</t>
  </si>
  <si>
    <t>032-431-8221</t>
  </si>
  <si>
    <t>제일금속</t>
  </si>
  <si>
    <t>고잔로51번길 46-1 ？(고잔동)？</t>
  </si>
  <si>
    <t>032-424-2362</t>
  </si>
  <si>
    <t>넥스유지</t>
  </si>
  <si>
    <t>홍용표</t>
  </si>
  <si>
    <t>고잔로61번길 17</t>
  </si>
  <si>
    <t>032-425-1485</t>
  </si>
  <si>
    <t>㈜미래메탈</t>
  </si>
  <si>
    <t>고잔로61번길 9 ？(고잔동)？</t>
  </si>
  <si>
    <t>절단,파쇄,선별</t>
  </si>
  <si>
    <t>032-446-1238</t>
  </si>
  <si>
    <t>주영산업</t>
  </si>
  <si>
    <t>이점식</t>
  </si>
  <si>
    <t>남동서로23번길 114-1 ？(고잔동)？</t>
  </si>
  <si>
    <t>032-8163015</t>
  </si>
  <si>
    <t>2001.02.06</t>
  </si>
  <si>
    <t>남동서로316번길 41 ？(남촌동)？</t>
  </si>
  <si>
    <t>(주)세종그린텍</t>
  </si>
  <si>
    <t>논현고잔로 54번길 12-2</t>
  </si>
  <si>
    <t>㈜케이제이텍</t>
  </si>
  <si>
    <t>이강재</t>
  </si>
  <si>
    <t>논현고잔로 54번길 49</t>
  </si>
  <si>
    <t>070-7526-7076</t>
  </si>
  <si>
    <t>㈜환경솔루션</t>
  </si>
  <si>
    <t>논현고잔로130번길 19</t>
  </si>
  <si>
    <t>032-813-1141</t>
  </si>
  <si>
    <t>퍼펙트환경㈜</t>
  </si>
  <si>
    <t>김진흥</t>
  </si>
  <si>
    <t>논현고잔로130번길 19 ？(고잔동)？</t>
  </si>
  <si>
    <t>032-441-3272</t>
  </si>
  <si>
    <t>㈜한결리싸이클링인천지사</t>
  </si>
  <si>
    <t>논현고잔로54번길 33</t>
  </si>
  <si>
    <t>절단,압축,파쇄</t>
  </si>
  <si>
    <t>031-313-3241</t>
  </si>
  <si>
    <t>메탈릭스리파이닝아시아 유한회사</t>
  </si>
  <si>
    <t>에릭리너
마이라이사벨피에스터</t>
  </si>
  <si>
    <t>논현고잔로54번길 69(고잔동)</t>
  </si>
  <si>
    <t>㈜엔피지엠코리아</t>
  </si>
  <si>
    <t>사토시케키</t>
  </si>
  <si>
    <t>논현고잔로54번길 84-1</t>
  </si>
  <si>
    <t>절단시설, 분쇄시설</t>
  </si>
  <si>
    <t>032-572-6866</t>
  </si>
  <si>
    <t>가온피엠씨</t>
  </si>
  <si>
    <t>승기천로 28 ？(고잔동)？</t>
  </si>
  <si>
    <t>032-813-6593</t>
  </si>
  <si>
    <t>㈜동명오앤에프</t>
  </si>
  <si>
    <t>앵고개로697번길 20 ？(고잔동)？</t>
  </si>
  <si>
    <t>032-431-9537</t>
  </si>
  <si>
    <t>천보(주)</t>
  </si>
  <si>
    <t>안용휘</t>
  </si>
  <si>
    <t>앵고개로697번길 85</t>
  </si>
  <si>
    <t>대유피지알</t>
  </si>
  <si>
    <t>박유창</t>
  </si>
  <si>
    <t>앵고개로697번길 92 ？(고잔동)？</t>
  </si>
  <si>
    <t>2010.06.09</t>
  </si>
  <si>
    <t>(주)주비스</t>
  </si>
  <si>
    <t>김양영</t>
  </si>
  <si>
    <t>앵고개로719번길 26</t>
  </si>
  <si>
    <t>031-432-7659</t>
  </si>
  <si>
    <t>㈜썬리소스</t>
  </si>
  <si>
    <t>김향진</t>
  </si>
  <si>
    <t>앵고개로719번길 26,  다동</t>
  </si>
  <si>
    <t>절단,분쇄,선별,압축시설</t>
  </si>
  <si>
    <t>032-433-7659</t>
  </si>
  <si>
    <t>(주)디에이치바이오 제2공장</t>
  </si>
  <si>
    <t>정양주</t>
  </si>
  <si>
    <t>운연로 150(운연동)</t>
  </si>
  <si>
    <t>정제(여과)시설</t>
  </si>
  <si>
    <t>032-473-1588</t>
  </si>
  <si>
    <t>음실로 97</t>
  </si>
  <si>
    <t>압축시설
정제시설</t>
  </si>
  <si>
    <t>음실서로 29</t>
  </si>
  <si>
    <t>032-469-7762~3</t>
  </si>
  <si>
    <t>㈜대경이노텍</t>
  </si>
  <si>
    <t>허동욱 외 1인</t>
  </si>
  <si>
    <t>음실서로 61-2 ？(운연동)</t>
  </si>
  <si>
    <t>그린폴리</t>
  </si>
  <si>
    <t>음실서로 67</t>
  </si>
  <si>
    <t>분쇄,탈수시설</t>
  </si>
  <si>
    <t>070-7755-6625</t>
  </si>
  <si>
    <t>라성금속</t>
  </si>
  <si>
    <t>한상식</t>
  </si>
  <si>
    <t>청능대로 468번길 39</t>
  </si>
  <si>
    <t>반응,정제,용융</t>
  </si>
  <si>
    <t>032-422-5502~3</t>
  </si>
  <si>
    <t>청능대로468번길 23 ？</t>
  </si>
  <si>
    <t>에스지금속(주)</t>
  </si>
  <si>
    <t>임형진</t>
  </si>
  <si>
    <t>청능대로484번길 30(고잔동 139 M동)</t>
  </si>
  <si>
    <t>032-431-8690</t>
  </si>
  <si>
    <t>㈜지에이치리사이클링</t>
  </si>
  <si>
    <t>청능대로534번길 2(고잔동 86-8, 6동)</t>
  </si>
  <si>
    <t>정제,건조,용융 등</t>
  </si>
  <si>
    <t>032-442-9908</t>
  </si>
  <si>
    <t>주식회사 에스앤에이이알</t>
  </si>
  <si>
    <t>김영두</t>
  </si>
  <si>
    <t>인천광역시 부평구 십정동 233</t>
  </si>
  <si>
    <t>폐합성수지류(폐염화비닐수지류는 제외한다), 폐합성고무류, 폐폴리염화비닐수지률, 폐폴리우레탄폼류, 양식용폐부자, 폐발포합성수지, 플라스틱폐포장재, 그 밖의 폐합성고분자화합물(합성·수지류로 피복된 폐전선을 포함한다), 폐천연섬유, 폐합성섬유, 그 밖의 폐섬유</t>
  </si>
  <si>
    <t>파쇄시설,선별시설, 분쇄시설</t>
  </si>
  <si>
    <t>032-575-5507</t>
  </si>
  <si>
    <t>파트너환경㈜</t>
  </si>
  <si>
    <t>아나지로 586 (서운동)</t>
  </si>
  <si>
    <t>압축, 파쇄시설</t>
  </si>
  <si>
    <t>인홍상사㈜</t>
  </si>
  <si>
    <t>임민현, 임재성</t>
  </si>
  <si>
    <t>가람로 39(오류동, 검단일반산업단지)</t>
  </si>
  <si>
    <t>파쇄시설 1기(132kW×2), 자력선별시설 1기(5.5kW×1), 선별시설(밀폐) 1기(5.5kW×1)</t>
  </si>
  <si>
    <t>032-562-6091</t>
  </si>
  <si>
    <t>㈜바로텍</t>
  </si>
  <si>
    <t>정용학</t>
  </si>
  <si>
    <t>가현산로46번안길 42 (대곡동)</t>
  </si>
  <si>
    <t>파쇄기 220kW, 선별기 1.5kW</t>
  </si>
  <si>
    <t>032-569-6810</t>
  </si>
  <si>
    <t>건지로 97번길 34-4(석남동)</t>
  </si>
  <si>
    <t>분쇄시설 22kW * 1기</t>
  </si>
  <si>
    <t>엘티메탈(주)</t>
  </si>
  <si>
    <t>건지로 98-13(가좌동)</t>
  </si>
  <si>
    <t>용융(용해)시설 0.13㎥x1
용융시설(전기로) 75Kwhx1
반응시설 0.1㎥x1
정제(여과)시설 0.05㎥x1
반응(환원)시설 0.1㎥x1
반응(용해)시설 8㎥x2
반응(용해)시설 2.5㎥x1
반응(용해)시설 1.5㎥x1
반응(용해)시설 1.0㎥x3
반응시설(침전 및 환원) 1.0㎥x4
건조시설 1.5㎥x2
건조시설 1.0㎥x1
반응(용해)시설 0.2㎥x1
반응시설(환원 및 침전) 0.2㎥x1
분쇄시설 60HPx1
선별시설(진동) 3HPx1
선별시설(자력) 2HPx1</t>
  </si>
  <si>
    <t>2000.08.30</t>
  </si>
  <si>
    <t>삼원분석(주)</t>
  </si>
  <si>
    <t>소세종</t>
  </si>
  <si>
    <t>건지로109번길 44-1(석남동)</t>
  </si>
  <si>
    <t>소각시설 90kg/시, 정제시설, 분쇄시설, 용융시설 등</t>
  </si>
  <si>
    <t>032-581-9200</t>
  </si>
  <si>
    <t>2000.11.09</t>
  </si>
  <si>
    <t>신풍화학</t>
  </si>
  <si>
    <t>김인수외1인(최병찬)</t>
  </si>
  <si>
    <t>건지로95번길 41-2(석남동)</t>
  </si>
  <si>
    <t>소각시설 30kg/hr</t>
  </si>
  <si>
    <t>1008, 1010, 2010</t>
  </si>
  <si>
    <t>032-581-7238</t>
  </si>
  <si>
    <t>2001.12.18</t>
  </si>
  <si>
    <t>장원프라스틱</t>
  </si>
  <si>
    <t>고정아</t>
  </si>
  <si>
    <t>검단로326번길 28(왕길동)</t>
  </si>
  <si>
    <t>분쇄시설 50HP*1</t>
  </si>
  <si>
    <t>㈜지에스리싸이텍</t>
  </si>
  <si>
    <t>위광양</t>
  </si>
  <si>
    <t>검단로326번길 81-37(왕길동)</t>
  </si>
  <si>
    <t>분쇄시설 100HP, 선별시설 7.5HP*2</t>
  </si>
  <si>
    <t>1010, 2010</t>
  </si>
  <si>
    <t>050-2009-8888</t>
  </si>
  <si>
    <t>2014.04.22</t>
  </si>
  <si>
    <t>㈜석천기업</t>
  </si>
  <si>
    <t>이주신</t>
  </si>
  <si>
    <t>검단천로 203(오류동)</t>
  </si>
  <si>
    <t>파쇄시설 330kW×1 (60톤/시, 480톤/일)
선별시설(진동) 45kW×1,
선별시설(자력) 5.5kW×2, 
선별시설(회전) 22kW×1
선별시설(풍력) 22kW×1
선별시설(풍력) 30kW×1</t>
  </si>
  <si>
    <t>청라환경개발㈜</t>
  </si>
  <si>
    <t>김탁</t>
  </si>
  <si>
    <t>금산로 15(경서동, 자원순환특화산업단지)</t>
  </si>
  <si>
    <t>파쇄시설(건식) 300HP(225kw)*1
분쇄시설(건식) 200HP(150kw)*1
선별(자석)시설 2HP(1.5kw)*1</t>
  </si>
  <si>
    <t>금산로 28(경서동, 자원순환특화산업단지)</t>
  </si>
  <si>
    <t>파쇄시설 220kW×1
분쇄시설 450HP×1, 선별시설(트롬멜) 3.7kW×1, 선별시설(자력) 2.2kW×1</t>
  </si>
  <si>
    <t>㈜동원에코</t>
  </si>
  <si>
    <t>금산로 32(경서동, 자원순환특화산업단지)</t>
  </si>
  <si>
    <t>파쇄시설 400HP(300kW)×1 (5톤/시, 40톤/일)
선별시설(트롬멜) 20HP(15kW)×1, 선별시설(자력) 5HP(3.7kW)×1
여과집진시설 200㎥/분×1기</t>
  </si>
  <si>
    <t>032-561-1395</t>
  </si>
  <si>
    <t>㈜엔씨알</t>
  </si>
  <si>
    <t>최찬규</t>
  </si>
  <si>
    <t>금산로 35(경서동, 자원순환특화산업단지)</t>
  </si>
  <si>
    <t>파쇄시설 320kW×1
선별시설(자력) 5.5kW×1, 선별시설(트롬멜) 22kW×1, 선별시설(풍력) 11kW×1</t>
  </si>
  <si>
    <t>032-564-8836</t>
  </si>
  <si>
    <t>압축시설 37kW, 파쇄시설 18.75kW,  파쇄시설 5.5kW, 용융시설 37kW, 용융시설 22kW</t>
  </si>
  <si>
    <t>㈜부흥환경산업</t>
  </si>
  <si>
    <t>진민성</t>
  </si>
  <si>
    <t>금산로34(경서동, 자원순환특화산업단지)</t>
  </si>
  <si>
    <t>재활용시설
- 파쇄시설(건식): 250HP(187.5kw)*1 [
- 선별시설(디스크스크린) 15HP(11kw)*1, 선별(자력) 2HP(1.5kw)*1, 선별(트롬멜) 15HP(11kw)*1</t>
  </si>
  <si>
    <t>김근태</t>
  </si>
  <si>
    <t>금산로7번길 23(경서동, 자원순환특화산업단지)</t>
  </si>
  <si>
    <t>폐폴리염화비닐수지류(PVC): 분쇄시설(건식)55kW×2
폐합성수지류(PE)]: 분쇄시설(습식)110kW×1), 탈수시설 37kW×1</t>
  </si>
  <si>
    <t>032-574-1100</t>
  </si>
  <si>
    <t>길무로 177번길 25(오류동)</t>
  </si>
  <si>
    <t>압축시설 55kW*2</t>
  </si>
  <si>
    <t>경진철강</t>
  </si>
  <si>
    <t>길무로 213(오류동)</t>
  </si>
  <si>
    <t>파쇄시설 15kW</t>
  </si>
  <si>
    <t>032-567-2452</t>
  </si>
  <si>
    <t>㈜다온이엔텍</t>
  </si>
  <si>
    <t>김관모</t>
  </si>
  <si>
    <t>길무로 215(오류동)</t>
  </si>
  <si>
    <t>파쇄시설 320kW * 1기(12톤/시, 96톤/일) ⇒ 여과집진시설 80㎥/분
선별시설(밀폐) 11HP * 1기(12톤/시, 96톤/일)</t>
  </si>
  <si>
    <t>032-569-7240~1</t>
  </si>
  <si>
    <t>2020.02.24</t>
  </si>
  <si>
    <t>㈜우석금속</t>
  </si>
  <si>
    <t>김상오</t>
  </si>
  <si>
    <t>길무로165번길 18(오류동)</t>
  </si>
  <si>
    <t>분쇄시설 50HP , 150HP 각 1기
선별(건식)시설 6HP * 1
선별(습식, 자력)시설 5HP, 1HP 각 1기</t>
  </si>
  <si>
    <t>032-565-9851</t>
  </si>
  <si>
    <t>2019.06.26</t>
  </si>
  <si>
    <t>㈜대상수지</t>
  </si>
  <si>
    <t>길무로165번길 3</t>
  </si>
  <si>
    <t>압축시설 55kW</t>
  </si>
  <si>
    <t>㈜원광에스앤티 서구지사</t>
  </si>
  <si>
    <t>길무로177번길 11(오류동)</t>
  </si>
  <si>
    <t>압축시설 55kW*1</t>
  </si>
  <si>
    <t>㈜건영스크랩</t>
  </si>
  <si>
    <t>백선기 (1997.6.18.)</t>
  </si>
  <si>
    <t>길무로177번길 22(오류동)</t>
  </si>
  <si>
    <t>파쇄시설15HP, 분쇄시설 75HP, 선별시설 5HP, 파쇄시설 250HP</t>
  </si>
  <si>
    <t>032-566-0418</t>
  </si>
  <si>
    <t>㈜에코리사이클링</t>
  </si>
  <si>
    <t>김태엽</t>
  </si>
  <si>
    <t>도담3로13(오류동)</t>
  </si>
  <si>
    <t>분쇄시설 30HP</t>
  </si>
  <si>
    <t>070-4416-6254</t>
  </si>
  <si>
    <t>동아금속㈜</t>
  </si>
  <si>
    <t>김연임</t>
  </si>
  <si>
    <t>도담4로 35(오류동)</t>
  </si>
  <si>
    <t>파쇄시설 100HP, 자력선별시설 2HP(종합재활용업 공동이용)</t>
  </si>
  <si>
    <t>032-572-9060</t>
  </si>
  <si>
    <t>(주)우리이에프피</t>
  </si>
  <si>
    <t>파쇄시설 400HP
선별시설 15HP 1기</t>
  </si>
  <si>
    <t>032-568-8495</t>
  </si>
  <si>
    <t>2000.10.05</t>
  </si>
  <si>
    <t>두루물로 36(오류동)</t>
  </si>
  <si>
    <t>분쇄기 75kW, 절단시설 22kW, 
파쇄시설 55kW</t>
  </si>
  <si>
    <t>032-562-8798</t>
  </si>
  <si>
    <t>세종그린㈜</t>
  </si>
  <si>
    <t>두루물로 48번길 10, 나동, 다동 2층
[나동: 폐기물 재활용시설 및 보관시설, 다동: 사무실]</t>
  </si>
  <si>
    <t>분쇄시설 37kW×1, 선별시설 3kW×1, 자력선별시설 2.2kW×1</t>
  </si>
  <si>
    <t>㈜청우이앤디 인천지점</t>
  </si>
  <si>
    <t>두루물로 52 (오류동434-73)</t>
  </si>
  <si>
    <t>분쇄시설 : 350HPx1
자력선별시설 : 3HPx1
회전선별시설 : 30HPx1</t>
  </si>
  <si>
    <t>032-565-3786</t>
  </si>
  <si>
    <t>두루물로 64(오류동)</t>
  </si>
  <si>
    <t>분쇄시설 320kW 1기, 선별시설 11kW 1기</t>
  </si>
  <si>
    <t>경인그린텍(주)지점</t>
  </si>
  <si>
    <t>압축시설 55kwx1</t>
  </si>
  <si>
    <t>2001, 2010</t>
  </si>
  <si>
    <t>처리량 수정</t>
  </si>
  <si>
    <t>그린에코넥서스(주) 인천1사업소</t>
  </si>
  <si>
    <t>두루물로 90(오류동)</t>
  </si>
  <si>
    <t>1라인) 
절단시설 15kw×1, 파쇄시설 220kw×1, 자력선별시설 3.7kw×1,  분쇄시설 264kw×1, 자력선별시설 3.7kw×1, 풍력선별시설 15kw×1
 2라인)
 파쇄시설 400kw×1, 자력선별시설 5.5kw×1, 풍력선별시설 30kw×1, 분쇄시설 500kw×1, 자력선별시설 3.7kw×1</t>
  </si>
  <si>
    <t>032-566-9363</t>
  </si>
  <si>
    <t>두루물로 96번길 26</t>
  </si>
  <si>
    <t>압축시설 75kw*2</t>
  </si>
  <si>
    <t>두루물로48번길 19 (오류동 434-135)</t>
  </si>
  <si>
    <t>파쇄시설 320kW(160kW×2)×1(15톤/시)
선별시설(진동디스크) 5.5kW×2, 선별시설(자력) 3.7kW×2, 
선별시설(복합·타격식) 167kW(75kW+55kW+37kW)
     선별시설(풍력) 22kW, 선별시설(회전) 5.5kW
     분쇄시설 220kW, 압축시설 55kW
     여과집진시설 250㎥/분 (씨아이에코솔루션 종합재활용업과 공동이용)</t>
  </si>
  <si>
    <t>두루물로48번길 6(오류동)</t>
  </si>
  <si>
    <t>분쇄시설 110kW (4톤/시)</t>
  </si>
  <si>
    <t>070-8869-6480</t>
  </si>
  <si>
    <t>예산수지</t>
  </si>
  <si>
    <t>두루물로8번길 15(오류동)</t>
  </si>
  <si>
    <t>분쇄시설 50HP, 압축시설 75HP</t>
  </si>
  <si>
    <t>032-562-5634</t>
  </si>
  <si>
    <t>두루물로8번길54(오류동)</t>
  </si>
  <si>
    <t>압축시설 75HP×1</t>
  </si>
  <si>
    <t>032-565-3885~6</t>
  </si>
  <si>
    <t>두루물로96번길 1(오류동)</t>
  </si>
  <si>
    <t>파쇄시설 300kW×1 
 선별시설(자력) 3.7kW×1, 
 선별시설(입도,회전스크린) 37kW×1
 선별시설(자력) 3.7kW×1</t>
  </si>
  <si>
    <t>㈜코리아에너지</t>
  </si>
  <si>
    <t>조현덕</t>
  </si>
  <si>
    <t>두루물로96번길 25(오류동)</t>
  </si>
  <si>
    <t>파쇄시설 190kW * 1기
선별시설 11kW * 1기</t>
  </si>
  <si>
    <t>032-561-1568</t>
  </si>
  <si>
    <t>한국산업㈜</t>
  </si>
  <si>
    <t>드림로 153(왕길동)</t>
  </si>
  <si>
    <t>파쇄시설 350HP*1</t>
  </si>
  <si>
    <t>032-563-6885</t>
  </si>
  <si>
    <t>드림로 174 (백석동 255)</t>
  </si>
  <si>
    <t>1차 파쇄·분쇄시설 400kwx1, 1차 파쇄·분쇄시설(복합) 220kwx1), 2차 파쇄·분쇄시설(수직) 210kwx1, 3차 파쇄·분쇄시설(리핑) 320kwx1, 1차 스크린 선별기(진동) 22kwx1,  2차 스크린 선별기(트롬멜) 15kwx1, 3차 스크린 선별기(트롬멜) 15kwx1, 1차 자력선별기 7.5kwx1, 2차 자력선별기 3.7kwx1, 풍력선별기 30kwx1</t>
  </si>
  <si>
    <t>한신에스앤드㈜</t>
  </si>
  <si>
    <t>김수희</t>
  </si>
  <si>
    <t>마중1로 26(오류동)</t>
  </si>
  <si>
    <t>탈각(절단)시설 7.5kWx2, 분쇄시설 37.5kWx1</t>
  </si>
  <si>
    <t>032-590-9090</t>
  </si>
  <si>
    <t>㈜진성그린</t>
  </si>
  <si>
    <t>김건수, 유병건</t>
  </si>
  <si>
    <t>폐합성수지 파쇄시설 300HP 선별(자력)시설 3HP</t>
  </si>
  <si>
    <t>032-563-5700</t>
  </si>
  <si>
    <t>상호 변경</t>
  </si>
  <si>
    <t>[1라인] 파쇄시설 60HP×1, 분쇄시설 50HP×2, 습식선별시설 1.5HP×1
[2라인] 파쇄시설 : 60HP×1</t>
  </si>
  <si>
    <t>청은리싸이클링㈜</t>
  </si>
  <si>
    <t>마중로 16(오류동,검단일반산업단지)</t>
  </si>
  <si>
    <t>선별(밀폐)시설 3HP*1, 분쇄시설 20HP*2</t>
  </si>
  <si>
    <t>032-566-9403</t>
  </si>
  <si>
    <t>㈜에닉스</t>
  </si>
  <si>
    <t>고동진</t>
  </si>
  <si>
    <t>백범로934번길 28(가좌동)</t>
  </si>
  <si>
    <t>소각시설 30kg/hr*1, 건조시설(정제겸용) 3.17㎥(60kg/hr)*2</t>
  </si>
  <si>
    <t>032-574-0025</t>
  </si>
  <si>
    <t>2004.09.20</t>
  </si>
  <si>
    <t>봉수대로 1234-8(왕길동)</t>
  </si>
  <si>
    <t>분쇄시설 : 30HPx1</t>
  </si>
  <si>
    <t>㈜에이원에코</t>
  </si>
  <si>
    <t>봉수대로1568번길 29(금곡동)</t>
  </si>
  <si>
    <t>분쇄시설 200HP</t>
  </si>
  <si>
    <t>유현알씨</t>
  </si>
  <si>
    <t>윤광원</t>
  </si>
  <si>
    <t>봉수대로1568번길 65(금곡동)</t>
  </si>
  <si>
    <t>압축시설 10HP*1</t>
  </si>
  <si>
    <t>032-568-7201</t>
  </si>
  <si>
    <t>봉수대로1581번길 5-11(금곡동)</t>
  </si>
  <si>
    <t>분쇄시설 10HP,
용융시설(감용) 11kW (0.13톤/시),</t>
  </si>
  <si>
    <t>032-566-8246</t>
  </si>
  <si>
    <t>2017.06.27</t>
  </si>
  <si>
    <t>㈜미래리싸이클링(금곡동지점)</t>
  </si>
  <si>
    <t>봉수대로1581번길 5-9(금곡동)</t>
  </si>
  <si>
    <t>분쇄시설 22kW (1.25톤/시, 8시간/일)
분쇄시설 37kW
선별시설(풍력) 0.75kW
탈수시설 15kW</t>
  </si>
  <si>
    <t>032-562-9549</t>
  </si>
  <si>
    <t>사월로 2(백석동)</t>
  </si>
  <si>
    <t>압축시설 37kW×1</t>
  </si>
  <si>
    <t>선별시설 3HP*2, 7.5HP*1, 자력선별시설 2HP*2, 습식분쇄시설 150HP,100HP*1</t>
  </si>
  <si>
    <t>㈜시영금속</t>
  </si>
  <si>
    <t>조명옥</t>
  </si>
  <si>
    <t>사월로37번길 8-5(왕길동)</t>
  </si>
  <si>
    <t>1차 분쇄시설 50HP*), 2차 분쇄시설 75HP*1, 선별시설 3HP*1</t>
  </si>
  <si>
    <t>대성금속㈜</t>
  </si>
  <si>
    <t>노윤구</t>
  </si>
  <si>
    <t>염곡로 87(가좌동)</t>
  </si>
  <si>
    <t>기계적처리시설
 - 분쇄시설 10hp×1
 - 파쇄시설 5hp×1 
 - 용융시설(도가니로) 0.08톤/회×1, 0.5톤/회×1
화학적처리시설
 -반응시설 0.18㎥×3</t>
  </si>
  <si>
    <t>032-575-8547</t>
  </si>
  <si>
    <t>청룡시스템</t>
  </si>
  <si>
    <t>한재견</t>
  </si>
  <si>
    <t>염곡로15번길 5-5(가좌동)</t>
  </si>
  <si>
    <t>분쇄시설 50HP</t>
  </si>
  <si>
    <t>완정로65번안길 40 가동(마전동)</t>
  </si>
  <si>
    <t>파쇄시설 20HP*1</t>
  </si>
  <si>
    <t>1008, 2001, 2003</t>
  </si>
  <si>
    <t>원당대로 246번길 20(오류동)</t>
  </si>
  <si>
    <t>파쇄시설 320kW×1
선별시설(자력) 5.5kW×1
선별시설(트롬멜) 11kW×1
선별시설(풍력) 11kW×1
여과집진시설 80㎥/분×2</t>
  </si>
  <si>
    <t>㈜케이윤산업</t>
  </si>
  <si>
    <t>원당대로 246번길 7(오류동)</t>
  </si>
  <si>
    <t>분쇄시설 22kW, 선별시설(밀폐) 5.5kW, 자력선별(밀폐)시설 1.5kW</t>
  </si>
  <si>
    <t>032-565-1534</t>
  </si>
  <si>
    <t>미라클산업㈜</t>
  </si>
  <si>
    <t>편창근</t>
  </si>
  <si>
    <t>원당대로205번길 2-30(오류동)</t>
  </si>
  <si>
    <t>분쇄시설 37kW
선별시설(밀폐) 7.5kW</t>
  </si>
  <si>
    <t>032-562-0096</t>
  </si>
  <si>
    <t>원당대로206번길 21(오류동)</t>
  </si>
  <si>
    <t>압축시설 11kW × 1기</t>
  </si>
  <si>
    <t>경인에코텍㈜서인천지점</t>
  </si>
  <si>
    <t>원당대로206번길 27(오류동)</t>
  </si>
  <si>
    <t>압축시설 75kW</t>
  </si>
  <si>
    <t>032-744-5020
032-566-3991</t>
  </si>
  <si>
    <t>2012.08.22</t>
  </si>
  <si>
    <t>파쇄시설 500HP×1기, 선별시설(자력) 1.5kW(2HP)×1기 ,</t>
  </si>
  <si>
    <t>032-568-3575</t>
  </si>
  <si>
    <t>원당대로206번길 35(오류동)</t>
  </si>
  <si>
    <t>㈜신진이앤씨</t>
  </si>
  <si>
    <t>원당대로246 번길 18(오류동)</t>
  </si>
  <si>
    <t>【시멘트부원료공정】
분쇄시설 37kWx1, 분쇄시설 7.5kWx1, 
 선별시설 3.7kWx1, 자력선별시설 2.2kWx1, 자력선별시설 2.2kwx1, 자력선별시설0.75kwx1
【재생사공정】 분쇄시설 187kwx1, 자력선별시설 3.7kWx1, 선별시설 7.5kWx1, 자력선별시설0.75kwx1, 분쇄시설 37kwx1, 자력선별시설0.75kwx1</t>
  </si>
  <si>
    <t>032-565-0441</t>
  </si>
  <si>
    <t>(주)청룡자원</t>
  </si>
  <si>
    <t>강현정</t>
  </si>
  <si>
    <t>원당대로246번길 14(오류동)</t>
  </si>
  <si>
    <t>절단시설 10HP</t>
  </si>
  <si>
    <t>원당대로262번길 17
(오류동)</t>
  </si>
  <si>
    <t>파쇄시설 55kW*1
선별(밀폐)시설 2.2kW*1</t>
  </si>
  <si>
    <t>032-572-2676</t>
  </si>
  <si>
    <t>광해자원</t>
  </si>
  <si>
    <t>장수희</t>
  </si>
  <si>
    <t>원당대로262번길 3(오류동)</t>
  </si>
  <si>
    <t>분쇄시설 20HP*1</t>
  </si>
  <si>
    <t>032-561-2780</t>
  </si>
  <si>
    <t>원당대로265번길 20-43(오류동)</t>
  </si>
  <si>
    <t>절단시설 5.5kW  × 1
파쇄시설 400kW × 1 + 파쇄시설 430HP × 1 
선별시설(자력) 5.5kW × 1</t>
  </si>
  <si>
    <t>㈜준메탈</t>
  </si>
  <si>
    <t>심유진</t>
  </si>
  <si>
    <t>원당대로265번길 34, 가동 (오류동)</t>
  </si>
  <si>
    <t>1차 분쇄시설 100HP×1 
2차 분쇄시설 75HP×2
선별시설(건식) 5HP×2
선별시설(습식) 3HP×1</t>
  </si>
  <si>
    <t>032-568-7837</t>
  </si>
  <si>
    <t>㈜태초메탈</t>
  </si>
  <si>
    <t>심재승</t>
  </si>
  <si>
    <t>원당대로265번길 34, 나동 (오류동)
※ 아래의 임대차 중인 부분을 제외한 전체 면적을 사용
계근대
가설건축물[축조신고 2017-241호(나동)] 438.5㎡
가설건축물[축조신고 2017-241호(컨테이너)] 24㎡
가설건축물[축조신고 2022-375호] 68㎡
건축물(자원순환시설)(가동) 253.44㎡</t>
  </si>
  <si>
    <t>분쇄(파쇄)시설 30kW(15kW×2)×1기
분쇄(파쇄)시설 15kW×1기, 분쇄시설 75kW×1기, 분쇄시설 75kW×2기
선별시설(진동) : 2.2kW×2기, 선별시설(습식) : 2.2kW×1기, 절단시설 15kW×1기</t>
  </si>
  <si>
    <t>032-567-0023</t>
  </si>
  <si>
    <t>(주)장원이엘티(JangWon E.L.T Inc.)]</t>
  </si>
  <si>
    <t>윤일중</t>
  </si>
  <si>
    <t>인천광역시 서구 두루물로78번길 26
(오류동 434-78번지)</t>
  </si>
  <si>
    <t>분쇄시설 55kW
분리시설 0.21㎥</t>
  </si>
  <si>
    <t>032-562-3396</t>
  </si>
  <si>
    <t>장고개로117번길 38(가좌동, 인천지방산업단지)</t>
  </si>
  <si>
    <t>분쇄시설 30kW</t>
  </si>
  <si>
    <t>(주)부광에스지</t>
  </si>
  <si>
    <t>중봉대로386번길 20(원창동)</t>
  </si>
  <si>
    <t>소각시설 60kg/hr</t>
  </si>
  <si>
    <t>032-579-2144</t>
  </si>
  <si>
    <t>2002.11.04</t>
  </si>
  <si>
    <t>파랑로116번안길 9 (원창동)</t>
  </si>
  <si>
    <t>분쇄시설 22kW×1기, 여과집진시설 40㎥/분
(규모미만 부대시설: 파쇄시설 9.4kW, 절단기 3.7kW, 압축기 1.5kW, 챠핑기 2.2kW, 콤프레샤 7.5kW)</t>
  </si>
  <si>
    <t>태주수지</t>
  </si>
  <si>
    <t>유태경</t>
  </si>
  <si>
    <t>호두산로58번길 10-1, B동(경서동)</t>
  </si>
  <si>
    <t>압축시설56kW(75HP) *1
파쇄시설 37.5kw*1</t>
  </si>
  <si>
    <t>032-566-7903</t>
  </si>
  <si>
    <t>2016.09.06</t>
  </si>
  <si>
    <t>용해시설</t>
  </si>
  <si>
    <t>2017.01.26</t>
  </si>
  <si>
    <t>동일상사</t>
  </si>
  <si>
    <t>장영숙</t>
  </si>
  <si>
    <t>2004, 2010</t>
  </si>
  <si>
    <t>나. 최종재활용업체 현황</t>
  </si>
  <si>
    <t>김홍진</t>
  </si>
  <si>
    <t>분쇄, 용융</t>
  </si>
  <si>
    <t>다. 종합재활용업체 현황</t>
  </si>
  <si>
    <t>시온금속</t>
  </si>
  <si>
    <t>정용복</t>
  </si>
  <si>
    <t>163개소</t>
  </si>
  <si>
    <t>북성동1가 6-85</t>
  </si>
  <si>
    <t>원목상태의 깨끗한 목재(91-10-01), 접착제, 페인트, 기름, 콘크리트 등의 물질이 사용된 목재(할로겐족 유기화합물 또는 방부제가 사용된 목재는 제외)(91-10-02)</t>
  </si>
  <si>
    <t>임목폐목재(51-20-21), 제재부산물, 목재가공공장 부산물(51-20-22), 폐가구류ㆍ폐도장목ㆍ폐목재포장재ㆍ폐전선드럼ㆍ건설현장 폐목재(원목상태의 깨끗한 목재)(51-20-23), 접착제ㆍ페인트ㆍ기름ㆍ콘크리트 등의 물질이 사용된 폐목재)(51-20-24), 폐철도목재받침목(51-20-26), 그 밖의 폐목재류(51-20-99), 중간가공폐기물(우드칩)</t>
  </si>
  <si>
    <t>폐목재(건설폐기물)(40-02-06)</t>
  </si>
  <si>
    <t>분쇄시설, 선별시설, 성형시설, 압착시설</t>
  </si>
  <si>
    <t>직접 제품제조(2004), 중간가공폐기물 제조(2010)</t>
  </si>
  <si>
    <t>032-888-0290</t>
  </si>
  <si>
    <t>2004.02.16</t>
  </si>
  <si>
    <t>㈜인천란수피
제2공장</t>
  </si>
  <si>
    <t>정기엽</t>
  </si>
  <si>
    <t>서해대로180번길 68
(신흥동3가)</t>
  </si>
  <si>
    <t>임목폐목재(51-20-21), 제재부산물, 목재가공공장 부산물(51-20-22), 폐가구류ㆍ폐도장목ㆍ폐목재포장재ㆍ폐전선드럼ㆍ건설현장 폐목재(원목상태의 깨끗한 목재)(51-20-23)</t>
  </si>
  <si>
    <t>폐목재류(1등임목폐목재(51-20-21), 제재부산물, 목재가공공장 부산물(51-20-22), 폐가구류ㆍ폐도장목ㆍ폐목재포장재ㆍ폐전선드럼ㆍ건설현장 폐목재(원목상태의 깨끗한 목재)(51-20-23) 급, 중간가공폐기물(우드칩))</t>
  </si>
  <si>
    <t>직접 제품제조 (2004),
중간가공폐기물 제조 (2010)</t>
  </si>
  <si>
    <t>2006.06.06</t>
  </si>
  <si>
    <t>㈜SUN&amp;L</t>
  </si>
  <si>
    <t>서성교</t>
  </si>
  <si>
    <t>월미로 96
(북성동1가)</t>
  </si>
  <si>
    <t>임목폐목재(51-20-21), 제재부산물, 목재가공공장 부산물(51-20-22), 폐가구류ㆍ폐도장목ㆍ폐목재포장재ㆍ폐전선드럼ㆍ건설현장 폐목재(원목상태의 깨끗한 목재)(51-20-23), 접착제ㆍ페인트ㆍ기름ㆍ콘크리트 등의 물질이 사용된 폐목재)(51-20-24)</t>
  </si>
  <si>
    <t>폐목재(1,2,3등급)</t>
  </si>
  <si>
    <t>직접 에너지회수 (2008)</t>
  </si>
  <si>
    <t>032-770-3073</t>
  </si>
  <si>
    <t>㈜SUN&amp;L MDF공장</t>
  </si>
  <si>
    <t>대표이사
(서성교)</t>
  </si>
  <si>
    <t>분쇄시설, 선별시설, 건조시설</t>
  </si>
  <si>
    <t>직접 제품제조 (2004), 연료·고형연료제품 제조 (2009)</t>
  </si>
  <si>
    <t>주식회사 서우이앤씨</t>
  </si>
  <si>
    <t>서원택</t>
  </si>
  <si>
    <t>인천 중구 영종순환로339번길 39</t>
  </si>
  <si>
    <t>건설폐재류:건설폐토석(건설폐토석), 정수처리오니(정수처리오니), 하수준설토(하수준설토), 건설오니(건설오니), 석재/골재폐수처리오니(석재/골재 생산 시 발생한 폐수를 처리하는 과정에서 발생한 오니로 한정한다)(석재/골재 폐수처리 오니),
그 밖의 무기성오니(그 밖의 무기성오니), 그 밖의 광재류, 그 밖의 분진(무기성), 점토점결폐주물사(점토점결폐주물사), 석탄재(석탄재), 폐토사(폐토사)</t>
  </si>
  <si>
    <t>선별시설, 혼합시설</t>
  </si>
  <si>
    <t>성토재·복토재 등으로 사용(2007)</t>
  </si>
  <si>
    <t>032-752-1445</t>
  </si>
  <si>
    <t>㈜디에스메탈</t>
  </si>
  <si>
    <t>전원철</t>
  </si>
  <si>
    <t>축항대로296번길 67
(신흥동3가)</t>
  </si>
  <si>
    <t>그 밖의 분진(51-05-99), 그 밖의 광재류(51-04-99), 그 밖의 폐금속류(51-29-99), 그 밖의 무기성 오니(51-02-99), 그 밖의 공정오니(51-02-19)</t>
  </si>
  <si>
    <t>원료 제조 (2003)</t>
  </si>
  <si>
    <t>032-764-0771</t>
  </si>
  <si>
    <t>인천란수피㈜</t>
  </si>
  <si>
    <t>항동7가 90번지</t>
  </si>
  <si>
    <t>032-770-9274</t>
  </si>
  <si>
    <t>이건수</t>
  </si>
  <si>
    <t>보세로 44</t>
  </si>
  <si>
    <t>032-882-6061</t>
  </si>
  <si>
    <t>㈜아이엠디</t>
  </si>
  <si>
    <t>TANAKA TETSUJI</t>
  </si>
  <si>
    <t>중봉대로 63</t>
  </si>
  <si>
    <t>032-763-2705</t>
  </si>
  <si>
    <t>축항대로296번길 67</t>
  </si>
  <si>
    <t>그 외 재활용시설</t>
  </si>
  <si>
    <t>이건에너지</t>
  </si>
  <si>
    <t>송림로 307번길132</t>
  </si>
  <si>
    <t>032-760-0709</t>
  </si>
  <si>
    <t>아암대로253번길88</t>
  </si>
  <si>
    <t>연마시설</t>
  </si>
  <si>
    <t>염전로 165번길38-44</t>
  </si>
  <si>
    <t>032-875-0711</t>
  </si>
  <si>
    <t>2007.04.26</t>
  </si>
  <si>
    <t>나은산업</t>
  </si>
  <si>
    <t>이주완</t>
  </si>
  <si>
    <t>고잔동</t>
  </si>
  <si>
    <t>정제, 용융,건조시설</t>
  </si>
  <si>
    <t>032-442-0407</t>
  </si>
  <si>
    <t>신세계리사이클링</t>
  </si>
  <si>
    <t>박애자</t>
  </si>
  <si>
    <t>032-424-4933</t>
  </si>
  <si>
    <t>제이앤지메탈</t>
  </si>
  <si>
    <t>032-562-4987</t>
  </si>
  <si>
    <t>고잔동 139 M동</t>
  </si>
  <si>
    <t>(주)제이엘이</t>
  </si>
  <si>
    <t>고잔동 146-1</t>
  </si>
  <si>
    <t>파쇄,정제,반응,건조</t>
  </si>
  <si>
    <t>032-422-8476</t>
  </si>
  <si>
    <t>비케이리메탈㈜</t>
  </si>
  <si>
    <t>배순한</t>
  </si>
  <si>
    <t>고잔동 179-6</t>
  </si>
  <si>
    <t>정제시설등</t>
  </si>
  <si>
    <t>032-517-5205</t>
  </si>
  <si>
    <t>㈜신원골드</t>
  </si>
  <si>
    <t>고잔동 203-2</t>
  </si>
  <si>
    <t>파쇄, 반응,정제,여과,추출</t>
  </si>
  <si>
    <t>032-437-1118</t>
  </si>
  <si>
    <t>청우금속</t>
  </si>
  <si>
    <t>최길섭</t>
  </si>
  <si>
    <t>고잔동 204-2</t>
  </si>
  <si>
    <t>032-822-0745</t>
  </si>
  <si>
    <t>㈜엠엔에스</t>
  </si>
  <si>
    <t>김존영</t>
  </si>
  <si>
    <t>고잔동 206</t>
  </si>
  <si>
    <t>반응,정제,용융,분쇄,탈피</t>
  </si>
  <si>
    <t>032-425-9742</t>
  </si>
  <si>
    <t>파쇄, 감용시설</t>
  </si>
  <si>
    <t>(주)디에스씨(DSC)남동지점</t>
  </si>
  <si>
    <t>박봉권</t>
  </si>
  <si>
    <t>고잔동 351-2</t>
  </si>
  <si>
    <t>070-7458-9847</t>
  </si>
  <si>
    <t>고잔동 359-8</t>
  </si>
  <si>
    <t>분쇄,정제,반응,용융</t>
  </si>
  <si>
    <t>㈜오르타머티리얼즈</t>
  </si>
  <si>
    <t>윤형석, 서동환</t>
  </si>
  <si>
    <t>고잔동 372-16</t>
  </si>
  <si>
    <t>032-433-3694</t>
  </si>
  <si>
    <t>유진상사</t>
  </si>
  <si>
    <t>고잔동 379-2</t>
  </si>
  <si>
    <t>02-862-5117</t>
  </si>
  <si>
    <t>오순용</t>
  </si>
  <si>
    <t>㈜보광메탈 인천남동사업장</t>
  </si>
  <si>
    <t>김명종</t>
  </si>
  <si>
    <t>고잔동 382-7</t>
  </si>
  <si>
    <t>파쇄,정제,여과,용융,건조</t>
  </si>
  <si>
    <t>032-816-7391</t>
  </si>
  <si>
    <t>(주)엠알메탈로</t>
  </si>
  <si>
    <t>고현경</t>
  </si>
  <si>
    <t>고잔동 407</t>
  </si>
  <si>
    <t>반응,여과,추출,건조</t>
  </si>
  <si>
    <t>032-435-9323</t>
  </si>
  <si>
    <t>㈜한청알에프</t>
  </si>
  <si>
    <t>이근학</t>
  </si>
  <si>
    <t>고잔동 409-5외 3필지</t>
  </si>
  <si>
    <t>건조,분쇄,반응,정제</t>
  </si>
  <si>
    <t>070-7504-3256</t>
  </si>
  <si>
    <t>2015.10.08</t>
  </si>
  <si>
    <t>신호성</t>
  </si>
  <si>
    <t>고잔동 460-22</t>
  </si>
  <si>
    <t>건조,성형(압출)</t>
  </si>
  <si>
    <t>032-822-9677</t>
  </si>
  <si>
    <t>고잔동 530-1</t>
  </si>
  <si>
    <t>압출,압축</t>
  </si>
  <si>
    <t>㈜제이엠인터내셔날</t>
  </si>
  <si>
    <t>김우연, 김경하</t>
  </si>
  <si>
    <t>고잔동 674-4</t>
  </si>
  <si>
    <t>032-822-8356</t>
  </si>
  <si>
    <t>진성산업사</t>
  </si>
  <si>
    <t>서복용</t>
  </si>
  <si>
    <t>고잔동 681</t>
  </si>
  <si>
    <t>성형,용융,압출시설</t>
  </si>
  <si>
    <t>032-813-4741</t>
  </si>
  <si>
    <t>(주)가보금속</t>
  </si>
  <si>
    <t>고잔동 69-3</t>
  </si>
  <si>
    <t>정제, 분쇄</t>
  </si>
  <si>
    <t>032-472-2888</t>
  </si>
  <si>
    <t>㈜유원포리머</t>
  </si>
  <si>
    <t>이형승</t>
  </si>
  <si>
    <t>고잔동 707-5</t>
  </si>
  <si>
    <t>분쇄,용융,건조,절단</t>
  </si>
  <si>
    <t>032-8117943</t>
  </si>
  <si>
    <t>양일엔프라㈜</t>
  </si>
  <si>
    <t>고잔동 720-1</t>
  </si>
  <si>
    <t>032-8122089</t>
  </si>
  <si>
    <t>애니오케이</t>
  </si>
  <si>
    <t>차주만</t>
  </si>
  <si>
    <t>고잔동 86-8</t>
  </si>
  <si>
    <t>파쇄,성형(감용)</t>
  </si>
  <si>
    <t>032-428-6767</t>
  </si>
  <si>
    <t>골드코리아</t>
  </si>
  <si>
    <t>노규웅</t>
  </si>
  <si>
    <t>고잔동 86-8 (3동)</t>
  </si>
  <si>
    <t>032-446-5466</t>
  </si>
  <si>
    <t>종성산업(주)</t>
  </si>
  <si>
    <t>고잔동257-3.257-28</t>
  </si>
  <si>
    <t>메타일렉트로㈜</t>
  </si>
  <si>
    <t>강기현</t>
  </si>
  <si>
    <t>고잔로 36, 고잔동 200-8</t>
  </si>
  <si>
    <t>정제,용융,분쇄,건조,반응시설</t>
  </si>
  <si>
    <t>715-8463</t>
  </si>
  <si>
    <t>(주)에이치에스티 지점</t>
  </si>
  <si>
    <t>고잔로 54</t>
  </si>
  <si>
    <t>성형(압출)시설, 절단시설, 분쇄시설</t>
  </si>
  <si>
    <t>㈜서한환경개발</t>
  </si>
  <si>
    <t>김서한</t>
  </si>
  <si>
    <t>고잔로 6</t>
  </si>
  <si>
    <t>반응시설, 선별시설</t>
  </si>
  <si>
    <t>호미메탈</t>
  </si>
  <si>
    <t>김용순</t>
  </si>
  <si>
    <t>고잔로 63-12 (고잔동)</t>
  </si>
  <si>
    <t>반응시설, 정제시설, 박피시설, 분쇄시설 등</t>
  </si>
  <si>
    <t>032-422-4585</t>
  </si>
  <si>
    <t>케이디컴퍼니</t>
  </si>
  <si>
    <t>고잔로 79</t>
  </si>
  <si>
    <t>반응시설
용융시설
정제(여과)시설
건조시설</t>
  </si>
  <si>
    <t>032-425-2055</t>
  </si>
  <si>
    <t>나점수</t>
  </si>
  <si>
    <t>고잔로15번길 10</t>
  </si>
  <si>
    <t>분쇄시설, 선별시설, 건조로, 혼합시설, 탈수시설</t>
  </si>
  <si>
    <t>032-423-9486</t>
  </si>
  <si>
    <t>㈜석창</t>
  </si>
  <si>
    <t>전재한</t>
  </si>
  <si>
    <t>고잔로41번길 18-11(고잔동)</t>
  </si>
  <si>
    <t>씨제이금속</t>
  </si>
  <si>
    <t>고잔로41번길 18-17</t>
  </si>
  <si>
    <t>건조, 분쇄, 정제시설</t>
  </si>
  <si>
    <t>032-715-4277</t>
  </si>
  <si>
    <t>김춘자</t>
  </si>
  <si>
    <t>고잔로41번길 18-17(고잔동)</t>
  </si>
  <si>
    <t>분쇄,정제시설</t>
  </si>
  <si>
    <t>㈜한국후루야메탈</t>
  </si>
  <si>
    <t>하현권</t>
  </si>
  <si>
    <t>고잔로41번길 23-1</t>
  </si>
  <si>
    <t>건조,정제시설</t>
  </si>
  <si>
    <t>사단법인 한국장애인아이티고용협회 인천지점</t>
  </si>
  <si>
    <t>김용일</t>
  </si>
  <si>
    <t>고잔로41번길 37</t>
  </si>
  <si>
    <t>새명(유)</t>
  </si>
  <si>
    <t>배형수</t>
  </si>
  <si>
    <t>고잔로41번길 41</t>
  </si>
  <si>
    <t>고잔로51번길 32, 제2동(고잔동)</t>
  </si>
  <si>
    <t>선별시설, 파쇄시설</t>
  </si>
  <si>
    <t>고잔로73번길 37, 39</t>
  </si>
  <si>
    <t>선별,파쇄,분쇄,압축시설</t>
  </si>
  <si>
    <t>케이비골드</t>
  </si>
  <si>
    <t>김현웅 외1명</t>
  </si>
  <si>
    <t>남동대로 284(논현동)</t>
  </si>
  <si>
    <t>032-818-2030</t>
  </si>
  <si>
    <t>2001.09.24</t>
  </si>
  <si>
    <t>㈜씨에이메탈</t>
  </si>
  <si>
    <t>심재황</t>
  </si>
  <si>
    <t>남동대로155번길 93(고잔동, 87B-4L)</t>
  </si>
  <si>
    <t>812-3071</t>
  </si>
  <si>
    <t>(주)장원(인천공장)</t>
  </si>
  <si>
    <t>양희운</t>
  </si>
  <si>
    <t>남동대로262번길 30-37</t>
  </si>
  <si>
    <t>없음(토양과 혼합하여 성토재, 복토재 등으로 재활용[폐기물관리법 시행규칙 제10조, 폐기물처리시설 외의 장소에서 처리가능)</t>
  </si>
  <si>
    <t>032-814-8123</t>
  </si>
  <si>
    <t>원일</t>
  </si>
  <si>
    <t>임영기</t>
  </si>
  <si>
    <t>남촌동 627-5</t>
  </si>
  <si>
    <t>분쇄, 성형,</t>
  </si>
  <si>
    <t>032-818-0350</t>
  </si>
  <si>
    <t>㈜오르타 인천1지점</t>
  </si>
  <si>
    <t>이승연</t>
  </si>
  <si>
    <t>논현고잔로130번길 14, 1층</t>
  </si>
  <si>
    <t>정제, 건조시설</t>
  </si>
  <si>
    <t>433-3694</t>
  </si>
  <si>
    <t>박양철</t>
  </si>
  <si>
    <t>논현고잔로54번길 66-2</t>
  </si>
  <si>
    <t>파쇄시설, 용융(감용)시설</t>
  </si>
  <si>
    <t>이든산업</t>
  </si>
  <si>
    <t>정제시설(열처리, 건조, 추출용해, 금박리, 은박리, 분리침전, 용해여과, 추출분리, 감압여과, 용융,주물)</t>
  </si>
  <si>
    <t>논현고잔로54번길 75</t>
  </si>
  <si>
    <t>절단,분쇄,분리,선별</t>
  </si>
  <si>
    <t>446-1238</t>
  </si>
  <si>
    <t>정도테크㈜ 인천지점</t>
  </si>
  <si>
    <t>논현고잔로88번길 44-41</t>
  </si>
  <si>
    <t>논현동 432-14</t>
  </si>
  <si>
    <t>소각시설, 분쇄시설, 반응시설, 건조시설, 탈수시설</t>
  </si>
  <si>
    <t>032-816-0284</t>
  </si>
  <si>
    <t>2016.03.09</t>
  </si>
  <si>
    <t>논현동 442-41, 47, 49</t>
  </si>
  <si>
    <t>분쇄,용융,건조,절단등</t>
  </si>
  <si>
    <t>신명PM</t>
  </si>
  <si>
    <t>김현교</t>
  </si>
  <si>
    <t>승기천로 24</t>
  </si>
  <si>
    <t>분쇄(저품위), 반응, 정제(고품위)</t>
  </si>
  <si>
    <t>승기천로 28 ?(고잔동)?</t>
  </si>
  <si>
    <t>813-6593</t>
  </si>
  <si>
    <t>앵고개로 694(고잔동)</t>
  </si>
  <si>
    <t>파쇄,압출시설</t>
  </si>
  <si>
    <t>주영골프산업㈜</t>
  </si>
  <si>
    <t>김창윤</t>
  </si>
  <si>
    <t>앵고개로697번길 134</t>
  </si>
  <si>
    <t>탈피시설, 파쇄분쇄시설
세척시설, 건조시설</t>
  </si>
  <si>
    <t>음실로 67</t>
  </si>
  <si>
    <t>파쇄시설, 선별시설, 분쇄시설, 탈수시설, 성형시설</t>
  </si>
  <si>
    <t>㈜세바엔텍</t>
  </si>
  <si>
    <t>이진택</t>
  </si>
  <si>
    <t>청능대로484번길 28-14</t>
  </si>
  <si>
    <t>분쇄시설, 정제시설</t>
  </si>
  <si>
    <t>국제케미칼</t>
  </si>
  <si>
    <t>청능대로484번길 30, R동</t>
  </si>
  <si>
    <t>분쇄,선별,압출시설</t>
  </si>
  <si>
    <t>㈜탑이엔에스 제2공장</t>
  </si>
  <si>
    <t>청능대로534번길 36-2</t>
  </si>
  <si>
    <t>건조시설, 반응시설, 환원시설</t>
  </si>
  <si>
    <t>윤미선, 주현숙, 주자영,주승현,주자현</t>
  </si>
  <si>
    <t>(가좌동 173-222, 173-363, 173-399)</t>
  </si>
  <si>
    <t>분쇄시설 125HP×3, 100HP×1
용융(압출)시설 175HP×1 200HP×1
탈수시설 50HP×2, 50HP×2</t>
  </si>
  <si>
    <t>1003, 2003</t>
  </si>
  <si>
    <t>032-566-2823</t>
  </si>
  <si>
    <t>2005.03.03</t>
  </si>
  <si>
    <t>절단시설 1기(7.5kW×1)</t>
  </si>
  <si>
    <t>신일수지</t>
  </si>
  <si>
    <t>김종율</t>
  </si>
  <si>
    <t>가현산로46번안길 23(대곡동)</t>
  </si>
  <si>
    <t>분쇄시설 20HP*1(0.2톤/시), 30HP*1(0.3톤/시)</t>
  </si>
  <si>
    <t>032-567-9734</t>
  </si>
  <si>
    <t>2016.07.22</t>
  </si>
  <si>
    <t>파쇄시설 1기[110kW x 2]
분쇄시설 1기[370kW x 1]
선별시설 1기[1.5kW x 1]
계량시설 50톤
※ 파쇄시설 및 선별시설 중간재활용업 공동이용</t>
  </si>
  <si>
    <t>거북로24번길 18(석남동)</t>
  </si>
  <si>
    <t>[R-10] 
(1차)분쇄시설 30HP×1기(1.76톤/일) (2차)분쇄시설 10HP×1기
[R-3-3]
(1차)반응시설 0.7㎥×2, 0.5㎥×3 (2차)반응시설 0.62㎥×2
건조시설 0.08㎥×2, 용융시설 0.2㎥×1</t>
  </si>
  <si>
    <t>일성산업</t>
  </si>
  <si>
    <t>조경미</t>
  </si>
  <si>
    <t>건지로 121번길 36(석남동)</t>
  </si>
  <si>
    <t>분쇄시설 75HP*1, 40HP*1. 15HP*1</t>
  </si>
  <si>
    <t>㈜유안컴퍼니 가좌지점</t>
  </si>
  <si>
    <t>박강서</t>
  </si>
  <si>
    <t>건지로 98-69 (가좌동)</t>
  </si>
  <si>
    <t>분쇄시설 3.7kW×2, 5.5kW×1 (2톤/일)
용융(압출)시설 1.5kW×2, 3.7kW×3, 7.5kW×1, 11kW×1
건조시설 0.8㎥×4, 0.7㎥×1, 0.5㎥×2
절단시설 0.4kW×3, 1.5kW×1, 2.2kW×3
흡착에의한시설 25㎥/분×1, 여과집진시설 40㎥/분×1</t>
  </si>
  <si>
    <t>삼정금속㈜</t>
  </si>
  <si>
    <t>신동만</t>
  </si>
  <si>
    <t>건지로109번길 33(석남동)</t>
  </si>
  <si>
    <t>반응시설 500ℓ, 300ℓ, 50ℓ, 10ℓ×12
용융시설 20ℓ×2, 1ℓ
정제(여과)시설 900ℓ, 30ℓ×3
건조시설 680ℓ, 60ℓ×3, 20ℓ×5</t>
  </si>
  <si>
    <t>032-572-4196</t>
  </si>
  <si>
    <t>인천산업피피에스</t>
  </si>
  <si>
    <t>홍영복</t>
  </si>
  <si>
    <t>건지로121번길 39(석남동)</t>
  </si>
  <si>
    <t>[R-10] 분쇄시설 90kW×1 (4톤/일)
[R-3-3] 절단시설 15kW×1(19.2톤/일), (1차)용융시설 160kW×1, (2차)용융시설(압출) 75kW×1 , (1·2차)용융시설(압출) 185kW×1</t>
  </si>
  <si>
    <t>032-511-1364</t>
  </si>
  <si>
    <t>㈜비지에프에코사이클</t>
  </si>
  <si>
    <t>백준오</t>
  </si>
  <si>
    <t>건지로121번길 7(석남동)</t>
  </si>
  <si>
    <t>압축시설 75HPx2, 용융시설 50HPx1, 분쇄시설 100HPx1, 분쇄시설 75HPx2, 선별시설 7.5HPx1</t>
  </si>
  <si>
    <t>032-327-0524</t>
  </si>
  <si>
    <t>전명석</t>
  </si>
  <si>
    <t>건지로153번길 46-23(석남동)</t>
  </si>
  <si>
    <t>분쇄시설(1차) 15HP×1, (2차) 50HP×1, 용융(감용)시설 30HP×1</t>
  </si>
  <si>
    <t>광진수지㈜</t>
  </si>
  <si>
    <t>서상훈</t>
  </si>
  <si>
    <t>건지로86번길 33(가좌동 173-222, 173-363, 173-399)</t>
  </si>
  <si>
    <t>분쇄시설 150kW×3 (60톤/일)
세척시설 20.45㎥×3
(1차)탈수시설 1.5kW×3, (2차)탈수시설 37kW×3
혼합시설 34.4㎥×3
(1차)용융시설(압출) 280kW×2, 220kW×1
(2차)용융시설(압출) 90kW×3
냉각시설 3.75㎥×3
절단시설 15kW×3</t>
  </si>
  <si>
    <t>032-575-6985</t>
  </si>
  <si>
    <t>검단로 188번길 39</t>
  </si>
  <si>
    <t>용융(감용)시설 37kw×1(1톤/일), 파쇄시설 11kw×1(1톤/일), 압축시설 22kw×1(0.2톤/일)</t>
  </si>
  <si>
    <t>이신호</t>
  </si>
  <si>
    <t>검단로188번길 18-20(오류동)</t>
  </si>
  <si>
    <t>성형시설 15HP*1(파쇄시설 동력 겸용)
흡착에의한시설 25㎥/분
방음실 1,256.8㎥</t>
  </si>
  <si>
    <t>032-565-9208</t>
  </si>
  <si>
    <t>공단상사</t>
  </si>
  <si>
    <t>검단로326번길 29(왕길동)</t>
  </si>
  <si>
    <t>분쇄시설 100HP(0.5톤/시)</t>
  </si>
  <si>
    <t>032-566-5819</t>
  </si>
  <si>
    <t>우성수지</t>
  </si>
  <si>
    <t>검단로326번길 30(왕길동)</t>
  </si>
  <si>
    <t>분쇄시설 40HP</t>
  </si>
  <si>
    <t>이상진, 김용희</t>
  </si>
  <si>
    <t>R-7-1(성토재): 분쇄시설 15kW×1, 건조시설 45.8㎥×1,여과집진시설 250㎥/분×1, 파쇄시설 15kW×1, 혼합시설 15kW×1, 여과집진시설 200㎥/분×1, 저장시설 70㎥×1
R-4-2(고화제): 반응시설 7.1㎥×1
R-4-2(비금속광물제품(블럭)): 선별시설 30kW×1, 분쇄시설 : 55kW×1, 여과집진시설 70㎥/분×1,  자력선별시설 3.7kW×1, 혼합시설(습식) 37kW×1,  고형화(성형)시설 30kW×1, 건조(양생)시설 840㎥×1
R-10(최종 R-4-2) &lt; R-4-2(비금속광물제품(블럭)&gt; 공동사용 : 자력선별시설 : 3.7kW ×1기, 선별시설(비중,디스크) : 30kW ×1기, 분쇄시설 : 55kW ×1기, 여과집진시설 70㎥/분 
R-10(최종재활용유형: R-9-1) : 
파쇄시설 220kW×1기, 선별시설(입도,트롬멜) 22kW×1기, 선별시설(비중,디스크) 30kW×1기, 선별시설(풍력) 30kW×1기, 선별시설(풍력) 15kW×1기</t>
  </si>
  <si>
    <t>032-563-3114</t>
  </si>
  <si>
    <t>파쇄기(습식) 120톤/hr(150HPx1), 선별혼합시설 120톤/hr(50HPx1),  
 선별(자력)시설 120톤/hr(5HPx1)</t>
  </si>
  <si>
    <t>㈜장형기업</t>
  </si>
  <si>
    <t>죠크라샤 95kW×1 (50톤/시, 400톤/일)
선별시설(진동스크린) 60kW×1,
여과집진시설 100㎥/분×1</t>
  </si>
  <si>
    <t>032-562-1659</t>
  </si>
  <si>
    <t>㈜뉴에코원</t>
  </si>
  <si>
    <t>신동호</t>
  </si>
  <si>
    <t>금산로 13(경서동, 자원순환특화산업단지)</t>
  </si>
  <si>
    <t>연료화시설(열분해로) 40㎥×1, 반응시설(고상촉매) 2㎥×2, 응축시설(1,2,3차) 0.17㎥×3, 정제시설(기수분리) 1.1㎥×1,  유수분리시설 0.9㎥×1, 정제시설(1,2차 수분분리) 1.0㎥×2, 
 정제시설(3차 수분분리) 0.8㎥×1, 정제시설(4차 수분분리) 7.5㎥×1, 정제시설(에멀전여과) 8.9㎥×1, 정제시설(백토여과) 2.9㎥×3, 정제시설(검질여과)5.7㎥×1 , 유수분리시설 7.2㎥×1</t>
  </si>
  <si>
    <t>032-561-5077</t>
  </si>
  <si>
    <t>(주)신세계자원</t>
  </si>
  <si>
    <t>김장성</t>
  </si>
  <si>
    <t>금산로 46, 48(경서동, 서부자원순환특화산업단지)</t>
  </si>
  <si>
    <t>[R-10 전용] 일처리능력 120톤/일, 8시간 기준
선별시설(트롬멜) 5.5kW×1기(15톤/시)
[R-4-2 전용] 일처리능력 360톤/일, 8시간 기준
선별시설(트롬멜) 5.5kW×1기(45톤/시)
선별시설(트롬멜) 5.5kW×3기, 분쇄시설 15kW×2기
여과집진시설 100㎥/분×2기
[공통시설] 선별시설(자력) 1.5kW, 분쇄시설 18.5kW
여과집진시설 50㎥/분×1기, 60㎥/분×1</t>
  </si>
  <si>
    <t>㈜선정유리</t>
  </si>
  <si>
    <t>윤석균</t>
  </si>
  <si>
    <t>금산로 7번길19(경서동, 자원순환특화산업단지)</t>
  </si>
  <si>
    <t>분쇄(건식)시설: 3.3HP(10kw)*1
선별(자력)시설: 영구자석*2
선별(공기흡입)시설: 2HP(1.5kw)*2
선별(트롬멜): 2HP(1.5kw)*1
선별(풍력)시설 1HP(0.75kw)*1(10톤/일)
선별(색채)시설 4HP(3kw)*2(10톤/일)</t>
  </si>
  <si>
    <t>032-567-9077</t>
  </si>
  <si>
    <t>㈜무한환경개발</t>
  </si>
  <si>
    <t>강태곤</t>
  </si>
  <si>
    <t>금산로7번길 10(경서동, 자원순환특화산업단지)</t>
  </si>
  <si>
    <t>1차 반응시설 2.3㎥×1기, 2차 반응시설 2.3㎥×1기</t>
  </si>
  <si>
    <t>승용상사</t>
  </si>
  <si>
    <t>금산로7번길 13(경서동, 자원순환특화산업단지)</t>
  </si>
  <si>
    <t>파쇄시설 15kW×1(
선별시설(풍력) 9.7kW×1
파쇄시설 22kW×1
선별시설(트롬멜) 1.5kW×1
선별시설(자력) 9.7kW×1
파쇄시설 15kW×1
선별시설(자력) 1.5kW×1
선별시설(트롬멜) 1.5kW×1
선별시설(풍력) 1.5kW×1</t>
  </si>
  <si>
    <t>032-566-7652</t>
  </si>
  <si>
    <t>(주)이안켐텍</t>
  </si>
  <si>
    <t>이용모</t>
  </si>
  <si>
    <t>금산로7번길 9(경서동, 자원순환특화산업단지)</t>
  </si>
  <si>
    <t>건조시설 3.36㎥×1</t>
  </si>
  <si>
    <t>032-565-9846</t>
  </si>
  <si>
    <t>용융(감융)시설 22kW*1</t>
  </si>
  <si>
    <t>처리량 오기(중간재활용 처리량이 기재됨)로 정정</t>
  </si>
  <si>
    <t>(주)대세영</t>
  </si>
  <si>
    <t>양진심</t>
  </si>
  <si>
    <t>길무로 181(오류동)</t>
  </si>
  <si>
    <t>분쇄시설(습식) 100HPx1 
분쇄시설(습식)  30HPx1</t>
  </si>
  <si>
    <t>032-564-6840</t>
  </si>
  <si>
    <t>2006.12.19</t>
  </si>
  <si>
    <t>㈜태성에코</t>
  </si>
  <si>
    <t>박주호</t>
  </si>
  <si>
    <t>길무로 220-31, 232-14(오류동)</t>
  </si>
  <si>
    <t>분쇄시설:15kw*1(15톤/시, 120톤/일)
선별시설:22kw*1(75톤/시, 600톤/일)
자력선별시설:3.7kw*1(75톤/시, 600톤/일)
자력선별시설:3.7kw*1(60톤/시, 480톤/일)
혼합(습식)시설:75kw*1(92.5톤/시, 740톤/일)
고형화(성형)시설:110kw*1(92.5톤/시, 740톤/일)
건조(양생)시설:2,250㎥*1((92.5톤/시, 740톤/일)</t>
  </si>
  <si>
    <t>032-563-3535</t>
  </si>
  <si>
    <t>김광년</t>
  </si>
  <si>
    <t>길무로 232-12</t>
  </si>
  <si>
    <t>분쇄시설 55kW*1
탈수시설 7.5kW*1</t>
  </si>
  <si>
    <t>[R-3-3] 일처리능력 12톤/일
용융시설 100kW×1기, 압출시설 55kW×2기
[R-10, 최종재활용유형 R-3-3] 일처리능력 16톤/일
압축시설 55kW×2기</t>
  </si>
  <si>
    <t>성빈산업</t>
  </si>
  <si>
    <t>박귀용,백경선</t>
  </si>
  <si>
    <t>길무로 232-3(오류동)</t>
  </si>
  <si>
    <t>분리(회수)시설 5.1㎥
선별시설(밀폐) 1.1kW * 1기
압축시설 7.5kW*1기
저장시설(부대시설) 2.1㎥*1기</t>
  </si>
  <si>
    <t>한국에코산업㈜인천지점</t>
  </si>
  <si>
    <t>이재영</t>
  </si>
  <si>
    <t>길무로165번길 10</t>
  </si>
  <si>
    <t>용융압출시설 207kW</t>
  </si>
  <si>
    <t>032-567-0522</t>
  </si>
  <si>
    <t>처리능력 오기로 정정</t>
  </si>
  <si>
    <t>용융(압출)시설 185kW</t>
  </si>
  <si>
    <t>백선기</t>
  </si>
  <si>
    <t>파쇄시설 250HP,자력선별시설 5HP,습식분쇄시설 75HP,40HP,습식선별시설 5HP*2,절단시설 10HP</t>
  </si>
  <si>
    <t>와요코리아</t>
  </si>
  <si>
    <t>곽봉렬</t>
  </si>
  <si>
    <t>길무로177번길 34 (오류동)</t>
  </si>
  <si>
    <t>분쇄시설 30kW×2, 탈수시설 3.7kW×1, 
용융시설 75kW×1, 55kW×1, 90kW×1, 
절단시설 15kW×1, 5.5kW×2 , 3.7kW×1</t>
  </si>
  <si>
    <t>032-565-8611</t>
  </si>
  <si>
    <t>분쇄시설 20HP, 자력선별시설 3HP</t>
  </si>
  <si>
    <t>도담4로 10,14,18(오류동)</t>
  </si>
  <si>
    <t>분쇄시설 100HP, 150HP*3, 200HP
압축시설 50HP,75HP*2
탈수시설 50HP*6, 선별시설 10HP</t>
  </si>
  <si>
    <t>032-564-1612~3</t>
  </si>
  <si>
    <t>계량시설 50톤
파쇄시설 100HP, 자력선별시설 2HP(중간재활용업 공동이용)
분리(토너)시설 0.43㎥</t>
  </si>
  <si>
    <t>㈜디에스리싸이클링(지점)</t>
  </si>
  <si>
    <t>도담6로 11(오류동, 검단일반산업단지)</t>
  </si>
  <si>
    <t>폐합성수지류 62.4톤/일(분쇄품 58.4톤/일. 스크랩 4톤/일), 
가동시간 16시간/일 
공정(1)
 분쇄시설(습식) 132㎾×1(2.6톤/시×1식, 16시간/일), 탈수시설(습식) 45㎾×4(1.3톤/시×4식, 16시간/일), 탈수시설(습식) 45㎾×1(2.6톤/시×1식, 16시간/일), 탈수시설(습식) 37㎾×2 (1.3톤/시×2식, 16시간/일), 선별시설(분리 5.5㎾+진동1.1㎾)6.6㎾×4(0.65톤/시×4식, 16시간/일), 선별시설(분리 3.0㎾+원심1.5㎾) 4.5㎾×4 (0.65톤/시×4식, 16시간/일), 선별시설(색채 15㎾+22㎾)37㎾×2(1.3톤/시×2식, 16시간/일), 선별시설(진동 3.0㎾) 3㎾×2(0.87톤/시×2식, 16시간/일), 선별시설(재질 6㎾)6㎾×1(1.0톤/시×식, 16시간/일)
공정(2)
 분쇄시설(습식) 90㎾×1(1.3톤/시×1식, 16시간/일), 탈수시설(습식) 45㎾×4(1.3톤/시×4식, 16시간/일), 선별시설(분리 5.5㎾+진동1.1㎾)6.6㎾×1(0.65톤/시×1식, 16시간/일), 선별시설(분리 5.5㎾+진동1.1㎾) 6.6㎾×1(0.65톤/시×1식, 16시간/일), 선별시설(분리 3.0㎾+원심1.5㎾)4.5㎾×2(0.65톤/시×2식, 16시간/일), 선별시설(색채 15㎾+22㎾) 37㎾×1(1.3톤/시×식, 16시간/일), 선별시설(재질 11㎾)11㎾×1 (1.3톤/시×식, 16시간/일), 선별시설 (진동 3.0㎾) 3㎾×2(0.65톤/시×2식, 16시간/일)</t>
  </si>
  <si>
    <t>㈜케이윤개발</t>
  </si>
  <si>
    <t>고광일</t>
  </si>
  <si>
    <t>두루물로 18(오류동)</t>
  </si>
  <si>
    <t>자력선별시설 2.2kW×1(25톤/시), 1차파쇄시설 22kW×1(25톤/시), 자력선별시설 0.75kW×1(25톤/시), 1차선별시설 55kW×1(25톤/시), 자력선별시설 0.75kW×1(7.5톤/시), 2차파쇄시설 55kW×1(7.5톤/시), 자력선별시설 0.75kW×1(25톤/시), 2차선별시설 55kW×1(25톤/시), 3차파쇄시설 55kW×1(7.5톤/시), 혼합시설(습식) 37kW×1(25톤/시), 고형화(성형)시설 42.5kW×1(25톤/시), 건조(양생)시설 561m³×1(25톤/시)</t>
  </si>
  <si>
    <t>R-2-1 [컴퓨터 재사용공정]  작업인원 2명/일(100대/일),
R-3-3 [소형가전 재활용공정] 분쇄시설 100HP</t>
  </si>
  <si>
    <t>㈜아시아에코</t>
  </si>
  <si>
    <t>윤민희</t>
  </si>
  <si>
    <t>두루물로8번길 35(오류동)</t>
  </si>
  <si>
    <t>&lt;1라인&gt;
파쇄시설400kW×1기(18톤/시)
선별시설(자력) 3.7kW×1기
선별시설(회전) 22kW×1기
선별시설(자력) 15kW×1기
선별시설(풍력) 22kW×1기
분쇄시설 380kW×1기
선별시설(자력) 3.7kW×1기
계량시설 50톤
&lt;2라인&gt;
파쇄시설 220kW×1기(12.5톤/시)
선별시설(자력) 2.2kW×1기
선별시설(회전) 15kW×1기</t>
  </si>
  <si>
    <t>두루물로96번길 13(오류동)</t>
  </si>
  <si>
    <t>- 용융시설(감용) 37kW
- 파쇄시설 11kW</t>
  </si>
  <si>
    <t>금강수지</t>
  </si>
  <si>
    <t>안경선</t>
  </si>
  <si>
    <t>두밀로71번길 9(대곡동)</t>
  </si>
  <si>
    <t>파쇄시설 100HP,용융시설 50HP,압출시설 30HP,절단시설 7.5HP</t>
  </si>
  <si>
    <t>032-564-3995</t>
  </si>
  <si>
    <t>벽돌라인)파쇄시설30HP,150HP,75HP
 선별시설 5HP, 5HP, 7.5HP
혼합시설 50HP, 성형시설 56HP
성토재라인)파쇄시설 20HP, 선별시설 2HP</t>
  </si>
  <si>
    <t>파쇄시설 90kw*1
선별시설
 - 1차 스크린 선별기 30kw*1
 - 2차 스크린 선별기 15kw*1</t>
  </si>
  <si>
    <t>주신플라스틱 2공장</t>
  </si>
  <si>
    <t>드림로177번길 15-19(왕길동)</t>
  </si>
  <si>
    <t>분쇄시설 75HP(55kW)*1,  압출시설 30HP(22kW)*1, 용융시설 37.5kW*2, 절단시설 5.5kW 2기 -&gt;흡착에의한시설 148㎥/분 1기</t>
  </si>
  <si>
    <t>032-329-9918</t>
  </si>
  <si>
    <t>신성수지</t>
  </si>
  <si>
    <t>정두섭</t>
  </si>
  <si>
    <t>마중1로 22(오류동)</t>
  </si>
  <si>
    <t>-PE공정
분쇄시설 150HP*1, 100HP*1
탈수시설 50HP*3
-PP공정
분쇄시설 150HP*1,100HP*1
탈수시설 30HP*1</t>
  </si>
  <si>
    <t>032-561-3953</t>
  </si>
  <si>
    <t>파쇄시설 400kW×1, 선별시설(회전력) 11kW×1, 선별시설(자력) 3.7kW×2,  선별시설(풍력) 22kW×2, 분쇄시설 500kW×1[18.75톤/시, 150톤/일]</t>
  </si>
  <si>
    <t>분쇄시설 : 100HPx1
선별(밀폐)시설 : 7.5HPx1</t>
  </si>
  <si>
    <t>윤돈모</t>
  </si>
  <si>
    <t>백범로 810번길 23(가좌동)</t>
  </si>
  <si>
    <t>1차 파쇄시설110kW×1(3.6톤/시, 28.8톤/일), 2차 파쇄시설90kW×1(3.5톤/시, 28톤/일), 3차 파쇄시설75kW×1(3.03톤/시, 24.23톤/일), 선별시설(자력)2.2kW×1(3.5톤/시, 28톤/일), 선별시설(1차 염수조)2.2kW(15㎥)×1(3.4톤/시, 27.20톤/일), 선별시설(2차 염수조)2.2kW(15㎥)×1(3.03톤/시, 24.23톤/일), 선별시설(1차 청수조)2.2kW(10㎥)×1(3.01톤/시, 24.09톤/일), 선별시설(2차 청수조)2.2kW(10㎥)×1(2.01톤/시, 16.09톤/일), 1차 탈수기22kW×1(3.03톤/시, 24.23톤/일), 2차 탈수기22kW×1(3.01톤/시, 24.09톤/일), 3차 탈수기22kW×1(1.0톤/시, 8톤/일), 4차 탈수기22kW×1(2.01톤/시, 16.09톤/일)
계량시설 1식(50톤, 3mW×10mL)</t>
  </si>
  <si>
    <t>032-583-2007</t>
  </si>
  <si>
    <t>우진사료공업㈜</t>
  </si>
  <si>
    <t>박석문,박석남</t>
  </si>
  <si>
    <t>백범로934번길 32(가좌동)</t>
  </si>
  <si>
    <t>분쇄시설(파쇄기) 25HP×1기
정제시설(증류(증자)기) 10ton/hr(8㎥)×1기
압축시설(압착기) 10ton/hr(40HP)×1기 
정제시설(분리기) 10ton/hr(50HP)×1기
증발·농축시설(증발·농축기) 7.0ton/hr(25HP*3ea)×1기
건조시설(건조기) 10ton/hr(125HP)×2기
유수 분리시설(유수분리기) 3ton/hr(30HP)×3기
분쇄시설(분쇄기) 5ton/hr(100HP)×2기
분쇄시설 1.75ton/hr(60HP)×1기
농축시설 0.625ton/hr(5HP)×4기</t>
  </si>
  <si>
    <t>2002, 2004, 2005</t>
  </si>
  <si>
    <t>032-576-3131</t>
  </si>
  <si>
    <t>(주)미송환경산업?</t>
  </si>
  <si>
    <t>한재용</t>
  </si>
  <si>
    <t>보듬로 72(오류동)</t>
  </si>
  <si>
    <t>파쇄시설 765HP*1, 선별기 75HP</t>
  </si>
  <si>
    <t>2003, 2009, 2010</t>
  </si>
  <si>
    <t>032-564-9813</t>
  </si>
  <si>
    <t>&lt;공통&gt;
계량시설 30톤×1
&lt;1공장&gt;
[가: 냉장고] 냉매분리시설 : 0.58㎥×1, 냉매유보관시설 : 0.03㎥×1
[가: 에어컨] 냉매분리시설 : 0.58㎥×1, 냉매유보관시설 : 0.03㎥×1
[나: 세탁기] (수작업)
[다: 소형및중형가전] 파쇄시설 : 110kW×2, 자력선별시설 0.75kW×2
[라: TV,컴퓨터모니터] 파쇄분리시설(밀폐) 7.5kW×1, 형광물질보관시설(밀폐) : 0.068㎥×5
[마, 휴대폰] (수작업)
[바, 프린터 및 복사기, 팩시밀리] (토너) 분리시설 : 0.6㎥×1
&lt;2공장-파쇄공정&gt;
파쇄시설(1차) : 110kW×1 (2.3톤/시)
자력선별 : 2.2kW×1
파쇄시설(2차) : 110kW×1
자력선별 : 0.75kW×1
&lt;3공장-세척및탈수공정&gt;
분쇄시설 : 110kW×1
탈수시설 : 22kW×3</t>
  </si>
  <si>
    <t>㈜포레스코</t>
  </si>
  <si>
    <t>정연원</t>
  </si>
  <si>
    <t>봉수대로 212(가좌동)</t>
  </si>
  <si>
    <t>연료화[88.2kW(절단시설)-고형연료제조와 중복사용, 512kW, 940kW(연마시설1,2차)], 선별[91.75kW, 107.94kW], 분쇄[2,700kW], 건조[249.7㎥], 성형[43.81kW], 압축(압착)[368.76kW], 절단[219kW] 각 1기</t>
  </si>
  <si>
    <t>1009, 2004</t>
  </si>
  <si>
    <t>032-715-5717</t>
  </si>
  <si>
    <t>대한피앤씨</t>
  </si>
  <si>
    <t>봉수대로1545번길 17(금곡동)</t>
  </si>
  <si>
    <t>분쇄시설 50HP*1, 100HP*1</t>
  </si>
  <si>
    <t>경기엔프라</t>
  </si>
  <si>
    <t>장기수</t>
  </si>
  <si>
    <t>봉수대로1545번길 33(금곡동)</t>
  </si>
  <si>
    <t>분쇄시설 30HP*2, 20HP*2
여과집진시설 60㎥/분x2식</t>
  </si>
  <si>
    <t>태영상회</t>
  </si>
  <si>
    <t>유경태</t>
  </si>
  <si>
    <t>봉수대로1568번길 56(금곡동)</t>
  </si>
  <si>
    <t>분쇄(56.25kW*1), 용융(압출)(75kW*2), 냉각(0.3㎥*2), 절단(5.625kW*1, 2.2kW*1)</t>
  </si>
  <si>
    <t>봉수대로183번길 12-1</t>
  </si>
  <si>
    <t>1차절단시설(정션박스해체) 1.5kW×1기 (2톤/일)
2차절단시설(프레임해체) 4kW×1기 
1·2차절단시설(정션박스및프레임해체) 7.5kW×1기 (3톤/일)
3차절단시설(유리분리) 5kW×1기
분쇄시설 22kW×1기
선별시설(입도선별) 1.5kW×1기
선별시설(진동,비중선별) 1.5kW×2기</t>
  </si>
  <si>
    <t>㈜에스틸</t>
  </si>
  <si>
    <t>북항로363번길 36(원창동)</t>
  </si>
  <si>
    <t>분쇄시설 60HPx1(40톤/일)</t>
  </si>
  <si>
    <t>032-584-4600</t>
  </si>
  <si>
    <t>2003.05.17</t>
  </si>
  <si>
    <t>사  무  실: 가정로97번길 28(가좌동)
 재활용시설: 염곡로 133(173-144, 173-145)</t>
  </si>
  <si>
    <t>선별시설(Pal Screen) 142HP(106.5kw(밀폐화 연속공정으로 동력합산88kw×1, 11kw×1, 1.5kw×5))*1
분쇄시설(리파이너) 4,000HP(3,000kw)*1
건조시설 314㎥*1
성형시설 178HP(133.5kw)*1
압축(압착)시설 495HP(371.3kw)*1
절단시설 95HP(71.3kw)*1</t>
  </si>
  <si>
    <t>032-580-5375</t>
  </si>
  <si>
    <t>2002.01.11</t>
  </si>
  <si>
    <t>(주)풍전비철?</t>
  </si>
  <si>
    <t>원경연</t>
  </si>
  <si>
    <t>사렴로 48(경서동)</t>
  </si>
  <si>
    <t>반사로15HPx2, 용융시설(도가니로 Zn) 5HPx1, 분쇄시설30HPx2, 20HPx1, 30HPx3, 
용융시설(도가니로 Cu) 0.2톤/회x1, 건조시설(폐수처리오니, 공정오니) 5.2㎥x1, 
혼합?분쇄시설 4.2㎥(20HP)x1</t>
  </si>
  <si>
    <t>1003, 2003, 2004</t>
  </si>
  <si>
    <t>070-4161-3519</t>
  </si>
  <si>
    <t>1994.10.17</t>
  </si>
  <si>
    <t>부개금속㈜</t>
  </si>
  <si>
    <t>사렴로53번길 12(경서동)</t>
  </si>
  <si>
    <t>용융. 용해시설(반사로) 8톤/일 1기, 용융 용해시설(재처리기) 10HP*2기</t>
  </si>
  <si>
    <t>032-561-1528</t>
  </si>
  <si>
    <t>2001.04.12</t>
  </si>
  <si>
    <t>주래원</t>
  </si>
  <si>
    <t>김숙자</t>
  </si>
  <si>
    <t>사월로 31-13(왕길동)</t>
  </si>
  <si>
    <t>용융시설 30HPx2, 파쇄시설 50HPx2</t>
  </si>
  <si>
    <t>032-563-5160</t>
  </si>
  <si>
    <t>조준구</t>
  </si>
  <si>
    <t>사월로 60-7(왕길동)</t>
  </si>
  <si>
    <t>절단시설 10HPx1, 3HPx1</t>
  </si>
  <si>
    <t>032-566-0803</t>
  </si>
  <si>
    <t>태성금속㈜</t>
  </si>
  <si>
    <t>염곡로 96(가좌동)</t>
  </si>
  <si>
    <t>반응시설(산화용해) 0.12㎥×3, 0.06㎥×1, 0.45㎥×2
반응시설(치환) 0.54㎥×5
정제시설(여과) 0.02㎥×3
정제시설(분리) 0.08㎥×6
소각시설 45kg/hr 
파쇄시설 1HP×1
용융시설 0.00052㎥ ×1
방지시설1 : (1차)흡수에의한시설 300㎥/분  (2차)흡수에의한시설 300㎥/분
방지시설2: (1차)원심력집진시설 60㎥/분 (2차) 흡수에의한시설 60㎥/분 (3차)흡수에의한시설 100㎥/분
방지시설3: (1차)원심력집진시설 40㎥/분 (2차)흡수에의한시설 40㎥/분 (3차)흡수에의한시설 40㎥/분</t>
  </si>
  <si>
    <t>032-572-3396</t>
  </si>
  <si>
    <t>(주)재형산업</t>
  </si>
  <si>
    <t>김중환</t>
  </si>
  <si>
    <t>오류동 187</t>
  </si>
  <si>
    <t>용융(압출)시설 75HP×2, 60HP×1, 분쇄시설 75HP×1
절단시설 7.5HP×2, 5HP×1</t>
  </si>
  <si>
    <t>032-566-3755</t>
  </si>
  <si>
    <t>왕길농장</t>
  </si>
  <si>
    <t>박기자</t>
  </si>
  <si>
    <t>왕길동 68</t>
  </si>
  <si>
    <t>퇴비화시설(지정이분변토생산시설)</t>
  </si>
  <si>
    <t>032-562-7212</t>
  </si>
  <si>
    <t>분쇄시설 1기(22kW×1)
선별시설 1기 (2.2kW×2)</t>
  </si>
  <si>
    <t>㈜신진이앤씨 지점</t>
  </si>
  <si>
    <t>원당대로246번길 37(오류동)</t>
  </si>
  <si>
    <t>분쇄시설 50HP*1
선별시설(밀폐) 5HP*1</t>
  </si>
  <si>
    <t>분쇄시설 50HP, 선별시설1HP*2</t>
  </si>
  <si>
    <t>㈜신영에스앤씨</t>
  </si>
  <si>
    <t>손호수</t>
  </si>
  <si>
    <t>원전로 60(경서동)</t>
  </si>
  <si>
    <t>건조시설 8.44㎥×1기, 건조시설(소성시설) 36.35㎥×1기,선별시설 2HP×1, 3HP×1, 7.5HP×1</t>
  </si>
  <si>
    <t>032-561-4447</t>
  </si>
  <si>
    <t>절단시설 15kW</t>
  </si>
  <si>
    <t>㈜서광메탈</t>
  </si>
  <si>
    <t>유충현</t>
  </si>
  <si>
    <t>중봉대로 386번길 13(원창동)</t>
  </si>
  <si>
    <t>파쇄 37kW, 분쇄 75kW, 자력선별 0.37kW, 비중선별 0.75kW 각 1기</t>
  </si>
  <si>
    <t>032-575-4155</t>
  </si>
  <si>
    <t>이가뉴본</t>
  </si>
  <si>
    <t>중봉대로306번길 44 (석남동)
(※임차중인 1층 창고(151.24.㎡) 제외)</t>
  </si>
  <si>
    <t>일처리능력 150톤/일, 8시간 기준
파쇄시설 300kW×1 (150kW×2) (18.75톤/시)
선별시설(자력) 2.2kW×1, 선별시설(풍력) 30kW×1
분쇄시설 336kW×1
여과집진시설 80㎥/분×2기</t>
  </si>
  <si>
    <t>032-472-7260</t>
  </si>
  <si>
    <t>강화생생</t>
  </si>
  <si>
    <t>송원덕</t>
  </si>
  <si>
    <t>길상면 해안동로 239-89</t>
  </si>
  <si>
    <t>하수처리오니, 그밖의 공정오니, 그밖의 폐수처리오니, 그밖의 식물성잔재물</t>
  </si>
  <si>
    <t>032-937-0021</t>
  </si>
  <si>
    <t>2020.02.21</t>
  </si>
  <si>
    <t>㈜알이씨</t>
  </si>
  <si>
    <t>불은면 강화동로 625</t>
  </si>
  <si>
    <t>폐전주, 폐내화물, 폐도자기조각</t>
  </si>
  <si>
    <t>1004, 2004</t>
  </si>
  <si>
    <t>032-937-8834</t>
  </si>
  <si>
    <t>㈜강화클린</t>
  </si>
  <si>
    <t>김미혜</t>
  </si>
  <si>
    <t>불은면 강화동로726번길 126</t>
  </si>
  <si>
    <t>음식물류폐기물, 중간가공음식물류폐기물</t>
  </si>
  <si>
    <t>032-937-8003</t>
  </si>
  <si>
    <t>동양기산㈜</t>
  </si>
  <si>
    <t>소경빈</t>
  </si>
  <si>
    <t>불은면 고려왕릉로 364</t>
  </si>
  <si>
    <t>폐소화기</t>
  </si>
  <si>
    <t>032-937-5117</t>
  </si>
  <si>
    <t>대동방재</t>
  </si>
  <si>
    <t>선원면 시리미로 45</t>
  </si>
  <si>
    <t>032-933-0177</t>
  </si>
  <si>
    <t>농업회사법인㈜여명농산</t>
  </si>
  <si>
    <t>임용분</t>
  </si>
  <si>
    <t>송해면 홍의길 177</t>
  </si>
  <si>
    <t>음식물류폐기물, 그밖의 동식물성잔재물</t>
  </si>
  <si>
    <t>032-933-4525</t>
  </si>
  <si>
    <t>(유)한일타이어</t>
  </si>
  <si>
    <t>하점면 강화대로967번길 21-1</t>
  </si>
  <si>
    <t>032-933-4186</t>
  </si>
  <si>
    <t>한국남동발전㈜영흥발전본부</t>
  </si>
  <si>
    <t>영흥발전본부장</t>
  </si>
  <si>
    <t>영흥면 외리 1344</t>
  </si>
  <si>
    <t>경량소재,중량소재 등</t>
  </si>
  <si>
    <t>파쇄ㆍ분쇄ㆍ탈피 시설(동력 15kW 이상인 시설로 한정한다)
탈수ㆍ건조 시설</t>
  </si>
  <si>
    <t>070-8898-3943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</si>
</sst>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9" x14ac:knownFonts="1">
    <font>
      <sz val="11"/>
      <color indexed="8"/>
      <name val="맑은 고딕"/>
      <family val="2"/>
      <scheme val="minor"/>
    </font>
    <font>
      <b/>
      <sz val="14"/>
      <name val="돋움"/>
      <family val="3"/>
      <charset val="129"/>
    </font>
    <font>
      <sz val="10"/>
      <name val="맑은 고딕"/>
      <family val="3"/>
      <charset val="129"/>
    </font>
    <font>
      <sz val="10"/>
      <name val="맑은 고딕"/>
      <family val="3"/>
      <charset val="129"/>
    </font>
    <font>
      <sz val="10"/>
      <name val="맑은 고딕"/>
      <family val="3"/>
      <charset val="129"/>
    </font>
    <font>
      <sz val="10"/>
      <name val="맑은 고딕"/>
      <family val="3"/>
      <charset val="129"/>
    </font>
    <font>
      <sz val="11"/>
      <name val="돋움"/>
      <family val="3"/>
      <charset val="129"/>
    </font>
    <font>
      <b/>
      <sz val="11"/>
      <name val="돋움"/>
      <family val="3"/>
      <charset val="129"/>
    </font>
    <font>
      <sz val="8"/>
      <name val="맑은 고딕"/>
      <family val="3"/>
      <charset val="129"/>
      <scheme val="minor"/>
    </font>
  </fonts>
  <fills count="3">
    <fill>
      <patternFill patternType="none"/>
    </fill>
    <fill>
      <patternFill patternType="gray125"/>
    </fill>
    <fill>
      <patternFill patternType="solid">
        <fgColor rgb="FF91D7E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4" fillId="0" borderId="1" xfId="0" applyNumberFormat="1" applyFont="1" applyBorder="1" applyAlignment="1">
      <alignment horizontal="right" vertical="center" wrapText="1" indent="1"/>
    </xf>
    <xf numFmtId="176" fontId="5" fillId="0" borderId="1" xfId="0" applyNumberFormat="1" applyFont="1" applyBorder="1" applyAlignment="1">
      <alignment horizontal="right" vertical="center" wrapText="1" indent="1"/>
    </xf>
    <xf numFmtId="0" fontId="7" fillId="0" borderId="0" xfId="0" applyFont="1" applyAlignment="1">
      <alignment horizontal="right"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0" xfId="0" applyFont="1" applyAlignment="1">
      <alignment horizontal="left" vertical="center"/>
    </xf>
    <xf numFmtId="0" fontId="6" fillId="0" borderId="0" xfId="0" applyFont="1" applyAlignment="1">
      <alignment horizontal="left"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
  <sheetViews>
    <sheetView tabSelected="1" workbookViewId="0">
      <selection activeCell="B7" sqref="B7:B17"/>
    </sheetView>
  </sheetViews>
  <sheetFormatPr defaultRowHeight="16.5" x14ac:dyDescent="0.3"/>
  <cols>
    <col min="1" max="1" width="6" customWidth="1"/>
    <col min="2" max="3" width="12.625" customWidth="1"/>
    <col min="4" max="4" width="17.875" customWidth="1"/>
    <col min="5" max="5" width="22.25" customWidth="1"/>
    <col min="6" max="6" width="14.875" customWidth="1"/>
    <col min="7" max="7" width="20.75" customWidth="1"/>
    <col min="8" max="8" width="17.875" customWidth="1"/>
    <col min="9" max="9" width="11.625" customWidth="1"/>
    <col min="10" max="13" width="10.375" customWidth="1"/>
    <col min="14" max="14" width="16.375" customWidth="1"/>
    <col min="15" max="25" width="10.375" customWidth="1"/>
    <col min="26" max="26" width="14.5" customWidth="1"/>
    <col min="27" max="27" width="10.375" customWidth="1"/>
    <col min="28" max="28" width="12.75" customWidth="1"/>
    <col min="29" max="29" width="12.625" customWidth="1"/>
    <col min="30" max="36" width="10.375" customWidth="1"/>
  </cols>
  <sheetData>
    <row r="1" spans="1:36" ht="18.75" x14ac:dyDescent="0.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row>
    <row r="2" spans="1:36" x14ac:dyDescent="0.3">
      <c r="A2" s="9" t="s">
        <v>1</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spans="1:36"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t="s">
        <v>2</v>
      </c>
    </row>
    <row r="4" spans="1:36" ht="24" customHeight="1" x14ac:dyDescent="0.3">
      <c r="A4" s="10" t="s">
        <v>3</v>
      </c>
      <c r="B4" s="10" t="s">
        <v>4</v>
      </c>
      <c r="C4" s="10" t="s">
        <v>5</v>
      </c>
      <c r="D4" s="10" t="s">
        <v>6</v>
      </c>
      <c r="E4" s="10" t="s">
        <v>7</v>
      </c>
      <c r="F4" s="10" t="s">
        <v>8</v>
      </c>
      <c r="G4" s="10"/>
      <c r="H4" s="10"/>
      <c r="I4" s="10"/>
      <c r="J4" s="10" t="s">
        <v>9</v>
      </c>
      <c r="K4" s="10" t="s">
        <v>10</v>
      </c>
      <c r="L4" s="10" t="s">
        <v>11</v>
      </c>
      <c r="M4" s="10" t="s">
        <v>12</v>
      </c>
      <c r="N4" s="10" t="s">
        <v>13</v>
      </c>
      <c r="O4" s="10" t="s">
        <v>14</v>
      </c>
      <c r="P4" s="10"/>
      <c r="Q4" s="10"/>
      <c r="R4" s="10"/>
      <c r="S4" s="10"/>
      <c r="T4" s="10" t="s">
        <v>15</v>
      </c>
      <c r="U4" s="10"/>
      <c r="V4" s="10"/>
      <c r="W4" s="10"/>
      <c r="X4" s="10" t="s">
        <v>16</v>
      </c>
      <c r="Y4" s="10" t="s">
        <v>17</v>
      </c>
      <c r="Z4" s="10" t="s">
        <v>18</v>
      </c>
      <c r="AA4" s="10" t="s">
        <v>19</v>
      </c>
      <c r="AB4" s="10" t="s">
        <v>20</v>
      </c>
      <c r="AC4" s="10" t="s">
        <v>21</v>
      </c>
      <c r="AD4" s="10"/>
      <c r="AE4" s="10"/>
      <c r="AF4" s="10"/>
      <c r="AG4" s="10"/>
      <c r="AH4" s="10"/>
      <c r="AI4" s="10"/>
      <c r="AJ4" s="10" t="s">
        <v>22</v>
      </c>
    </row>
    <row r="5" spans="1:36" ht="24" customHeight="1"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t="s">
        <v>23</v>
      </c>
      <c r="AD5" s="10" t="s">
        <v>24</v>
      </c>
      <c r="AE5" s="10"/>
      <c r="AF5" s="10"/>
      <c r="AG5" s="10" t="s">
        <v>25</v>
      </c>
      <c r="AH5" s="10"/>
      <c r="AI5" s="10"/>
      <c r="AJ5" s="10"/>
    </row>
    <row r="6" spans="1:36" ht="36" customHeight="1" x14ac:dyDescent="0.3">
      <c r="A6" s="10"/>
      <c r="B6" s="10"/>
      <c r="C6" s="10"/>
      <c r="D6" s="10"/>
      <c r="E6" s="10"/>
      <c r="F6" s="1" t="s">
        <v>26</v>
      </c>
      <c r="G6" s="1" t="s">
        <v>27</v>
      </c>
      <c r="H6" s="1" t="s">
        <v>28</v>
      </c>
      <c r="I6" s="1" t="s">
        <v>29</v>
      </c>
      <c r="J6" s="1" t="s">
        <v>30</v>
      </c>
      <c r="K6" s="1" t="s">
        <v>31</v>
      </c>
      <c r="L6" s="10"/>
      <c r="M6" s="10"/>
      <c r="N6" s="1" t="s">
        <v>32</v>
      </c>
      <c r="O6" s="1" t="s">
        <v>33</v>
      </c>
      <c r="P6" s="1" t="s">
        <v>34</v>
      </c>
      <c r="Q6" s="1" t="s">
        <v>35</v>
      </c>
      <c r="R6" s="1" t="s">
        <v>36</v>
      </c>
      <c r="S6" s="1" t="s">
        <v>37</v>
      </c>
      <c r="T6" s="1" t="s">
        <v>33</v>
      </c>
      <c r="U6" s="1" t="s">
        <v>38</v>
      </c>
      <c r="V6" s="1" t="s">
        <v>39</v>
      </c>
      <c r="W6" s="1" t="s">
        <v>37</v>
      </c>
      <c r="X6" s="10"/>
      <c r="Y6" s="10"/>
      <c r="Z6" s="10"/>
      <c r="AA6" s="10"/>
      <c r="AB6" s="10"/>
      <c r="AC6" s="10"/>
      <c r="AD6" s="1" t="s">
        <v>40</v>
      </c>
      <c r="AE6" s="1" t="s">
        <v>41</v>
      </c>
      <c r="AF6" s="1" t="s">
        <v>42</v>
      </c>
      <c r="AG6" s="1" t="s">
        <v>40</v>
      </c>
      <c r="AH6" s="1" t="s">
        <v>43</v>
      </c>
      <c r="AI6" s="1" t="s">
        <v>44</v>
      </c>
      <c r="AJ6" s="10"/>
    </row>
    <row r="7" spans="1:36" ht="24" customHeight="1" x14ac:dyDescent="0.3">
      <c r="A7" s="2" t="s">
        <v>54</v>
      </c>
      <c r="B7" s="11" t="s">
        <v>55</v>
      </c>
      <c r="C7" s="11" t="s">
        <v>40</v>
      </c>
      <c r="D7" s="2" t="s">
        <v>2</v>
      </c>
      <c r="E7" s="2" t="s">
        <v>2</v>
      </c>
      <c r="F7" s="2" t="s">
        <v>2</v>
      </c>
      <c r="G7" s="2" t="s">
        <v>2</v>
      </c>
      <c r="H7" s="2" t="s">
        <v>2</v>
      </c>
      <c r="I7" s="2" t="s">
        <v>2</v>
      </c>
      <c r="J7" s="4">
        <v>997.8</v>
      </c>
      <c r="K7" s="3">
        <v>10</v>
      </c>
      <c r="L7" s="2" t="s">
        <v>2</v>
      </c>
      <c r="M7" s="2" t="s">
        <v>2</v>
      </c>
      <c r="N7" s="4">
        <v>243059.4</v>
      </c>
      <c r="O7" s="4">
        <f t="shared" ref="O7:O17" si="0">SUM(P7:S7)</f>
        <v>43099</v>
      </c>
      <c r="P7" s="4">
        <v>35939.4</v>
      </c>
      <c r="Q7" s="4">
        <v>0</v>
      </c>
      <c r="R7" s="4">
        <v>7159.6</v>
      </c>
      <c r="S7" s="4">
        <v>0</v>
      </c>
      <c r="T7" s="3">
        <f t="shared" ref="T7:T17" si="1">SUM(U7:W7)</f>
        <v>222327</v>
      </c>
      <c r="U7" s="3">
        <v>74376</v>
      </c>
      <c r="V7" s="3">
        <v>147832</v>
      </c>
      <c r="W7" s="3">
        <v>119</v>
      </c>
      <c r="X7" s="3">
        <v>35666</v>
      </c>
      <c r="Y7" s="3">
        <v>159</v>
      </c>
      <c r="Z7" s="2" t="s">
        <v>2</v>
      </c>
      <c r="AA7" s="2" t="s">
        <v>2</v>
      </c>
      <c r="AB7" s="4">
        <v>635098.9</v>
      </c>
      <c r="AC7" s="4">
        <f t="shared" ref="AC7:AC17" si="2">SUM(AE7,AF7,AH7,AI7)</f>
        <v>568410.19999999995</v>
      </c>
      <c r="AD7" s="4">
        <f t="shared" ref="AD7:AD17" si="3">SUM(AE7:AF7)</f>
        <v>340915.8</v>
      </c>
      <c r="AE7" s="4">
        <v>324188</v>
      </c>
      <c r="AF7" s="4">
        <v>16727.8</v>
      </c>
      <c r="AG7" s="4">
        <f t="shared" ref="AG7:AG17" si="4">SUM(AH7:AI7)</f>
        <v>227494.39999999999</v>
      </c>
      <c r="AH7" s="4">
        <v>211398.3</v>
      </c>
      <c r="AI7" s="4">
        <v>16096.1</v>
      </c>
      <c r="AJ7" s="2" t="s">
        <v>2</v>
      </c>
    </row>
    <row r="8" spans="1:36" ht="24" customHeight="1" x14ac:dyDescent="0.3">
      <c r="A8" s="2" t="s">
        <v>46</v>
      </c>
      <c r="B8" s="11"/>
      <c r="C8" s="11" t="s">
        <v>56</v>
      </c>
      <c r="D8" s="2" t="s">
        <v>57</v>
      </c>
      <c r="E8" s="2" t="s">
        <v>58</v>
      </c>
      <c r="F8" s="2" t="s">
        <v>26</v>
      </c>
      <c r="G8" s="2" t="s">
        <v>27</v>
      </c>
      <c r="H8" s="2" t="s">
        <v>2</v>
      </c>
      <c r="I8" s="2" t="s">
        <v>2</v>
      </c>
      <c r="J8" s="4">
        <v>540</v>
      </c>
      <c r="K8" s="3">
        <v>24</v>
      </c>
      <c r="L8" s="2" t="s">
        <v>47</v>
      </c>
      <c r="M8" s="2" t="s">
        <v>48</v>
      </c>
      <c r="N8" s="4">
        <v>130736.8</v>
      </c>
      <c r="O8" s="4">
        <f t="shared" si="0"/>
        <v>24172.899999999998</v>
      </c>
      <c r="P8" s="4">
        <v>20318.8</v>
      </c>
      <c r="Q8" s="4">
        <v>0</v>
      </c>
      <c r="R8" s="4">
        <v>3854.1</v>
      </c>
      <c r="S8" s="4">
        <v>0</v>
      </c>
      <c r="T8" s="3">
        <f t="shared" si="1"/>
        <v>129203</v>
      </c>
      <c r="U8" s="3">
        <v>46502</v>
      </c>
      <c r="V8" s="3">
        <v>82701</v>
      </c>
      <c r="W8" s="3">
        <v>0</v>
      </c>
      <c r="X8" s="3">
        <v>19725</v>
      </c>
      <c r="Y8" s="3">
        <v>78</v>
      </c>
      <c r="Z8" s="2" t="s">
        <v>59</v>
      </c>
      <c r="AA8" s="2" t="s">
        <v>2</v>
      </c>
      <c r="AB8" s="4">
        <v>325263.40000000002</v>
      </c>
      <c r="AC8" s="4">
        <f t="shared" si="2"/>
        <v>281654</v>
      </c>
      <c r="AD8" s="4">
        <f t="shared" si="3"/>
        <v>163669.9</v>
      </c>
      <c r="AE8" s="4">
        <v>147405</v>
      </c>
      <c r="AF8" s="4">
        <v>16264.9</v>
      </c>
      <c r="AG8" s="4">
        <f t="shared" si="4"/>
        <v>117984.1</v>
      </c>
      <c r="AH8" s="4">
        <v>117984.1</v>
      </c>
      <c r="AI8" s="4">
        <v>0</v>
      </c>
      <c r="AJ8" s="2" t="s">
        <v>2</v>
      </c>
    </row>
    <row r="9" spans="1:36" ht="24" customHeight="1" x14ac:dyDescent="0.3">
      <c r="A9" s="2" t="s">
        <v>49</v>
      </c>
      <c r="B9" s="11"/>
      <c r="C9" s="11" t="s">
        <v>60</v>
      </c>
      <c r="D9" s="2" t="s">
        <v>61</v>
      </c>
      <c r="E9" s="2" t="s">
        <v>62</v>
      </c>
      <c r="F9" s="2" t="s">
        <v>63</v>
      </c>
      <c r="G9" s="2" t="s">
        <v>2</v>
      </c>
      <c r="H9" s="2" t="s">
        <v>2</v>
      </c>
      <c r="I9" s="2" t="s">
        <v>2</v>
      </c>
      <c r="J9" s="4">
        <v>420</v>
      </c>
      <c r="K9" s="3">
        <v>24</v>
      </c>
      <c r="L9" s="2" t="s">
        <v>47</v>
      </c>
      <c r="M9" s="2" t="s">
        <v>48</v>
      </c>
      <c r="N9" s="4">
        <v>111220.8</v>
      </c>
      <c r="O9" s="4">
        <f t="shared" si="0"/>
        <v>18828.3</v>
      </c>
      <c r="P9" s="4">
        <v>15620.6</v>
      </c>
      <c r="Q9" s="4">
        <v>0</v>
      </c>
      <c r="R9" s="4">
        <v>3207.7</v>
      </c>
      <c r="S9" s="4">
        <v>0</v>
      </c>
      <c r="T9" s="3">
        <f t="shared" si="1"/>
        <v>79946</v>
      </c>
      <c r="U9" s="3">
        <v>25521</v>
      </c>
      <c r="V9" s="3">
        <v>54425</v>
      </c>
      <c r="W9" s="3">
        <v>0</v>
      </c>
      <c r="X9" s="3">
        <v>15078</v>
      </c>
      <c r="Y9" s="3">
        <v>74</v>
      </c>
      <c r="Z9" s="2" t="s">
        <v>64</v>
      </c>
      <c r="AA9" s="2" t="s">
        <v>2</v>
      </c>
      <c r="AB9" s="4">
        <v>309835.5</v>
      </c>
      <c r="AC9" s="4">
        <f t="shared" si="2"/>
        <v>286756.19999999995</v>
      </c>
      <c r="AD9" s="4">
        <f t="shared" si="3"/>
        <v>177245.9</v>
      </c>
      <c r="AE9" s="4">
        <v>176783</v>
      </c>
      <c r="AF9" s="4">
        <v>462.9</v>
      </c>
      <c r="AG9" s="4">
        <f t="shared" si="4"/>
        <v>109510.3</v>
      </c>
      <c r="AH9" s="4">
        <v>93414.2</v>
      </c>
      <c r="AI9" s="4">
        <v>16096.1</v>
      </c>
      <c r="AJ9" s="2" t="s">
        <v>2</v>
      </c>
    </row>
    <row r="10" spans="1:36" ht="24" customHeight="1" x14ac:dyDescent="0.3">
      <c r="A10" s="2" t="s">
        <v>50</v>
      </c>
      <c r="B10" s="11"/>
      <c r="C10" s="11" t="s">
        <v>65</v>
      </c>
      <c r="D10" s="2" t="s">
        <v>66</v>
      </c>
      <c r="E10" s="2" t="s">
        <v>67</v>
      </c>
      <c r="F10" s="2" t="s">
        <v>26</v>
      </c>
      <c r="G10" s="2" t="s">
        <v>27</v>
      </c>
      <c r="H10" s="2" t="s">
        <v>2</v>
      </c>
      <c r="I10" s="2" t="s">
        <v>2</v>
      </c>
      <c r="J10" s="4">
        <v>25</v>
      </c>
      <c r="K10" s="3">
        <v>0</v>
      </c>
      <c r="L10" s="2" t="s">
        <v>47</v>
      </c>
      <c r="M10" s="2" t="s">
        <v>48</v>
      </c>
      <c r="N10" s="4">
        <v>0</v>
      </c>
      <c r="O10" s="4">
        <f t="shared" si="0"/>
        <v>0</v>
      </c>
      <c r="P10" s="4">
        <v>0</v>
      </c>
      <c r="Q10" s="4">
        <v>0</v>
      </c>
      <c r="R10" s="4">
        <v>0</v>
      </c>
      <c r="S10" s="4">
        <v>0</v>
      </c>
      <c r="T10" s="3">
        <f t="shared" si="1"/>
        <v>6646</v>
      </c>
      <c r="U10" s="3">
        <v>1994</v>
      </c>
      <c r="V10" s="3">
        <v>4652</v>
      </c>
      <c r="W10" s="3">
        <v>0</v>
      </c>
      <c r="X10" s="3">
        <v>0</v>
      </c>
      <c r="Y10" s="3">
        <v>0</v>
      </c>
      <c r="Z10" s="2" t="s">
        <v>2</v>
      </c>
      <c r="AA10" s="2" t="s">
        <v>2</v>
      </c>
      <c r="AB10" s="4">
        <v>0</v>
      </c>
      <c r="AC10" s="4">
        <f t="shared" si="2"/>
        <v>0</v>
      </c>
      <c r="AD10" s="4">
        <f t="shared" si="3"/>
        <v>0</v>
      </c>
      <c r="AE10" s="4">
        <v>0</v>
      </c>
      <c r="AF10" s="4">
        <v>0</v>
      </c>
      <c r="AG10" s="4">
        <f t="shared" si="4"/>
        <v>0</v>
      </c>
      <c r="AH10" s="4">
        <v>0</v>
      </c>
      <c r="AI10" s="4">
        <v>0</v>
      </c>
      <c r="AJ10" s="2" t="s">
        <v>2</v>
      </c>
    </row>
    <row r="11" spans="1:36" ht="24" customHeight="1" x14ac:dyDescent="0.3">
      <c r="A11" s="2" t="s">
        <v>51</v>
      </c>
      <c r="B11" s="11"/>
      <c r="C11" s="11" t="s">
        <v>68</v>
      </c>
      <c r="D11" s="2" t="s">
        <v>69</v>
      </c>
      <c r="E11" s="2" t="s">
        <v>70</v>
      </c>
      <c r="F11" s="2" t="s">
        <v>71</v>
      </c>
      <c r="G11" s="2" t="s">
        <v>2</v>
      </c>
      <c r="H11" s="2" t="s">
        <v>2</v>
      </c>
      <c r="I11" s="2" t="s">
        <v>2</v>
      </c>
      <c r="J11" s="4">
        <v>1.6</v>
      </c>
      <c r="K11" s="3">
        <v>8</v>
      </c>
      <c r="L11" s="2" t="s">
        <v>47</v>
      </c>
      <c r="M11" s="2" t="s">
        <v>72</v>
      </c>
      <c r="N11" s="4">
        <v>347.3</v>
      </c>
      <c r="O11" s="4">
        <f t="shared" si="0"/>
        <v>42.4</v>
      </c>
      <c r="P11" s="4">
        <v>0</v>
      </c>
      <c r="Q11" s="4">
        <v>0</v>
      </c>
      <c r="R11" s="4">
        <v>42.4</v>
      </c>
      <c r="S11" s="4">
        <v>0</v>
      </c>
      <c r="T11" s="3">
        <f t="shared" si="1"/>
        <v>1436</v>
      </c>
      <c r="U11" s="3">
        <v>0</v>
      </c>
      <c r="V11" s="3">
        <v>1436</v>
      </c>
      <c r="W11" s="3">
        <v>0</v>
      </c>
      <c r="X11" s="3">
        <v>147</v>
      </c>
      <c r="Y11" s="3">
        <v>1</v>
      </c>
      <c r="Z11" s="2" t="s">
        <v>73</v>
      </c>
      <c r="AA11" s="2" t="s">
        <v>2</v>
      </c>
      <c r="AB11" s="4">
        <v>0</v>
      </c>
      <c r="AC11" s="4">
        <f t="shared" si="2"/>
        <v>0</v>
      </c>
      <c r="AD11" s="4">
        <f t="shared" si="3"/>
        <v>0</v>
      </c>
      <c r="AE11" s="4">
        <v>0</v>
      </c>
      <c r="AF11" s="4">
        <v>0</v>
      </c>
      <c r="AG11" s="4">
        <f t="shared" si="4"/>
        <v>0</v>
      </c>
      <c r="AH11" s="4">
        <v>0</v>
      </c>
      <c r="AI11" s="4">
        <v>0</v>
      </c>
      <c r="AJ11" s="2" t="s">
        <v>2</v>
      </c>
    </row>
    <row r="12" spans="1:36" ht="24" customHeight="1" x14ac:dyDescent="0.3">
      <c r="A12" s="2" t="s">
        <v>52</v>
      </c>
      <c r="B12" s="11"/>
      <c r="C12" s="11"/>
      <c r="D12" s="2" t="s">
        <v>74</v>
      </c>
      <c r="E12" s="2" t="s">
        <v>75</v>
      </c>
      <c r="F12" s="2" t="s">
        <v>71</v>
      </c>
      <c r="G12" s="2" t="s">
        <v>2</v>
      </c>
      <c r="H12" s="2" t="s">
        <v>2</v>
      </c>
      <c r="I12" s="2" t="s">
        <v>2</v>
      </c>
      <c r="J12" s="4">
        <v>0.8</v>
      </c>
      <c r="K12" s="3">
        <v>8</v>
      </c>
      <c r="L12" s="2" t="s">
        <v>47</v>
      </c>
      <c r="M12" s="2" t="s">
        <v>72</v>
      </c>
      <c r="N12" s="4">
        <v>5</v>
      </c>
      <c r="O12" s="4">
        <f t="shared" si="0"/>
        <v>0.6</v>
      </c>
      <c r="P12" s="4">
        <v>0</v>
      </c>
      <c r="Q12" s="4">
        <v>0</v>
      </c>
      <c r="R12" s="4">
        <v>0.6</v>
      </c>
      <c r="S12" s="4">
        <v>0</v>
      </c>
      <c r="T12" s="3">
        <f t="shared" si="1"/>
        <v>1075</v>
      </c>
      <c r="U12" s="3">
        <v>0</v>
      </c>
      <c r="V12" s="3">
        <v>1075</v>
      </c>
      <c r="W12" s="3">
        <v>0</v>
      </c>
      <c r="X12" s="3">
        <v>55</v>
      </c>
      <c r="Y12" s="3">
        <v>1</v>
      </c>
      <c r="Z12" s="2" t="s">
        <v>76</v>
      </c>
      <c r="AA12" s="2" t="s">
        <v>2</v>
      </c>
      <c r="AB12" s="4">
        <v>0</v>
      </c>
      <c r="AC12" s="4">
        <f t="shared" si="2"/>
        <v>0</v>
      </c>
      <c r="AD12" s="4">
        <f t="shared" si="3"/>
        <v>0</v>
      </c>
      <c r="AE12" s="4">
        <v>0</v>
      </c>
      <c r="AF12" s="4">
        <v>0</v>
      </c>
      <c r="AG12" s="4">
        <f t="shared" si="4"/>
        <v>0</v>
      </c>
      <c r="AH12" s="4">
        <v>0</v>
      </c>
      <c r="AI12" s="4">
        <v>0</v>
      </c>
      <c r="AJ12" s="2" t="s">
        <v>2</v>
      </c>
    </row>
    <row r="13" spans="1:36" ht="24" customHeight="1" x14ac:dyDescent="0.3">
      <c r="A13" s="2" t="s">
        <v>77</v>
      </c>
      <c r="B13" s="11"/>
      <c r="C13" s="11"/>
      <c r="D13" s="2" t="s">
        <v>78</v>
      </c>
      <c r="E13" s="2" t="s">
        <v>79</v>
      </c>
      <c r="F13" s="2" t="s">
        <v>71</v>
      </c>
      <c r="G13" s="2" t="s">
        <v>2</v>
      </c>
      <c r="H13" s="2" t="s">
        <v>2</v>
      </c>
      <c r="I13" s="2" t="s">
        <v>80</v>
      </c>
      <c r="J13" s="4">
        <v>0.8</v>
      </c>
      <c r="K13" s="3">
        <v>8</v>
      </c>
      <c r="L13" s="2" t="s">
        <v>47</v>
      </c>
      <c r="M13" s="2" t="s">
        <v>72</v>
      </c>
      <c r="N13" s="4">
        <v>0</v>
      </c>
      <c r="O13" s="4">
        <f t="shared" si="0"/>
        <v>0</v>
      </c>
      <c r="P13" s="4">
        <v>0</v>
      </c>
      <c r="Q13" s="4">
        <v>0</v>
      </c>
      <c r="R13" s="4">
        <v>0</v>
      </c>
      <c r="S13" s="4">
        <v>0</v>
      </c>
      <c r="T13" s="3">
        <f t="shared" si="1"/>
        <v>160</v>
      </c>
      <c r="U13" s="3">
        <v>0</v>
      </c>
      <c r="V13" s="3">
        <v>160</v>
      </c>
      <c r="W13" s="3">
        <v>0</v>
      </c>
      <c r="X13" s="3">
        <v>0</v>
      </c>
      <c r="Y13" s="3">
        <v>1</v>
      </c>
      <c r="Z13" s="2" t="s">
        <v>81</v>
      </c>
      <c r="AA13" s="2" t="s">
        <v>2</v>
      </c>
      <c r="AB13" s="4">
        <v>0</v>
      </c>
      <c r="AC13" s="4">
        <f t="shared" si="2"/>
        <v>0</v>
      </c>
      <c r="AD13" s="4">
        <f t="shared" si="3"/>
        <v>0</v>
      </c>
      <c r="AE13" s="4">
        <v>0</v>
      </c>
      <c r="AF13" s="4">
        <v>0</v>
      </c>
      <c r="AG13" s="4">
        <f t="shared" si="4"/>
        <v>0</v>
      </c>
      <c r="AH13" s="4">
        <v>0</v>
      </c>
      <c r="AI13" s="4">
        <v>0</v>
      </c>
      <c r="AJ13" s="2" t="s">
        <v>2</v>
      </c>
    </row>
    <row r="14" spans="1:36" ht="24" customHeight="1" x14ac:dyDescent="0.3">
      <c r="A14" s="2" t="s">
        <v>82</v>
      </c>
      <c r="B14" s="11"/>
      <c r="C14" s="11"/>
      <c r="D14" s="2" t="s">
        <v>83</v>
      </c>
      <c r="E14" s="2" t="s">
        <v>84</v>
      </c>
      <c r="F14" s="2" t="s">
        <v>85</v>
      </c>
      <c r="G14" s="2" t="s">
        <v>2</v>
      </c>
      <c r="H14" s="2" t="s">
        <v>2</v>
      </c>
      <c r="I14" s="2" t="s">
        <v>2</v>
      </c>
      <c r="J14" s="4">
        <v>4</v>
      </c>
      <c r="K14" s="3">
        <v>8</v>
      </c>
      <c r="L14" s="2" t="s">
        <v>47</v>
      </c>
      <c r="M14" s="2" t="s">
        <v>72</v>
      </c>
      <c r="N14" s="4">
        <v>749.5</v>
      </c>
      <c r="O14" s="4">
        <f t="shared" si="0"/>
        <v>54.8</v>
      </c>
      <c r="P14" s="4">
        <v>0</v>
      </c>
      <c r="Q14" s="4">
        <v>0</v>
      </c>
      <c r="R14" s="4">
        <v>54.8</v>
      </c>
      <c r="S14" s="4">
        <v>0</v>
      </c>
      <c r="T14" s="3">
        <f t="shared" si="1"/>
        <v>1800</v>
      </c>
      <c r="U14" s="3">
        <v>0</v>
      </c>
      <c r="V14" s="3">
        <v>1800</v>
      </c>
      <c r="W14" s="3">
        <v>0</v>
      </c>
      <c r="X14" s="3">
        <v>301</v>
      </c>
      <c r="Y14" s="3">
        <v>1</v>
      </c>
      <c r="Z14" s="2" t="s">
        <v>86</v>
      </c>
      <c r="AA14" s="2" t="s">
        <v>2</v>
      </c>
      <c r="AB14" s="4">
        <v>0</v>
      </c>
      <c r="AC14" s="4">
        <f t="shared" si="2"/>
        <v>0</v>
      </c>
      <c r="AD14" s="4">
        <f t="shared" si="3"/>
        <v>0</v>
      </c>
      <c r="AE14" s="4">
        <v>0</v>
      </c>
      <c r="AF14" s="4">
        <v>0</v>
      </c>
      <c r="AG14" s="4">
        <f t="shared" si="4"/>
        <v>0</v>
      </c>
      <c r="AH14" s="4">
        <v>0</v>
      </c>
      <c r="AI14" s="4">
        <v>0</v>
      </c>
      <c r="AJ14" s="2" t="s">
        <v>2</v>
      </c>
    </row>
    <row r="15" spans="1:36" ht="24" customHeight="1" x14ac:dyDescent="0.3">
      <c r="A15" s="2" t="s">
        <v>87</v>
      </c>
      <c r="B15" s="11"/>
      <c r="C15" s="11"/>
      <c r="D15" s="2" t="s">
        <v>88</v>
      </c>
      <c r="E15" s="2" t="s">
        <v>89</v>
      </c>
      <c r="F15" s="2" t="s">
        <v>90</v>
      </c>
      <c r="G15" s="2" t="s">
        <v>2</v>
      </c>
      <c r="H15" s="2" t="s">
        <v>2</v>
      </c>
      <c r="I15" s="2" t="s">
        <v>2</v>
      </c>
      <c r="J15" s="4">
        <v>0.8</v>
      </c>
      <c r="K15" s="3">
        <v>8</v>
      </c>
      <c r="L15" s="2" t="s">
        <v>47</v>
      </c>
      <c r="M15" s="2" t="s">
        <v>72</v>
      </c>
      <c r="N15" s="4">
        <v>0</v>
      </c>
      <c r="O15" s="4">
        <f t="shared" si="0"/>
        <v>0</v>
      </c>
      <c r="P15" s="4">
        <v>0</v>
      </c>
      <c r="Q15" s="4">
        <v>0</v>
      </c>
      <c r="R15" s="4">
        <v>0</v>
      </c>
      <c r="S15" s="4">
        <v>0</v>
      </c>
      <c r="T15" s="3">
        <f t="shared" si="1"/>
        <v>709</v>
      </c>
      <c r="U15" s="3">
        <v>0</v>
      </c>
      <c r="V15" s="3">
        <v>709</v>
      </c>
      <c r="W15" s="3">
        <v>0</v>
      </c>
      <c r="X15" s="3">
        <v>73</v>
      </c>
      <c r="Y15" s="3">
        <v>1</v>
      </c>
      <c r="Z15" s="2" t="s">
        <v>91</v>
      </c>
      <c r="AA15" s="2" t="s">
        <v>2</v>
      </c>
      <c r="AB15" s="4">
        <v>0</v>
      </c>
      <c r="AC15" s="4">
        <f t="shared" si="2"/>
        <v>0</v>
      </c>
      <c r="AD15" s="4">
        <f t="shared" si="3"/>
        <v>0</v>
      </c>
      <c r="AE15" s="4">
        <v>0</v>
      </c>
      <c r="AF15" s="4">
        <v>0</v>
      </c>
      <c r="AG15" s="4">
        <f t="shared" si="4"/>
        <v>0</v>
      </c>
      <c r="AH15" s="4">
        <v>0</v>
      </c>
      <c r="AI15" s="4">
        <v>0</v>
      </c>
      <c r="AJ15" s="2" t="s">
        <v>2</v>
      </c>
    </row>
    <row r="16" spans="1:36" ht="24" customHeight="1" x14ac:dyDescent="0.3">
      <c r="A16" s="2" t="s">
        <v>92</v>
      </c>
      <c r="B16" s="11"/>
      <c r="C16" s="11"/>
      <c r="D16" s="2" t="s">
        <v>93</v>
      </c>
      <c r="E16" s="2" t="s">
        <v>94</v>
      </c>
      <c r="F16" s="2" t="s">
        <v>95</v>
      </c>
      <c r="G16" s="2" t="s">
        <v>2</v>
      </c>
      <c r="H16" s="2" t="s">
        <v>2</v>
      </c>
      <c r="I16" s="2" t="s">
        <v>2</v>
      </c>
      <c r="J16" s="4">
        <v>4</v>
      </c>
      <c r="K16" s="3">
        <v>8</v>
      </c>
      <c r="L16" s="2" t="s">
        <v>47</v>
      </c>
      <c r="M16" s="2" t="s">
        <v>72</v>
      </c>
      <c r="N16" s="4">
        <v>0</v>
      </c>
      <c r="O16" s="4">
        <f t="shared" si="0"/>
        <v>0</v>
      </c>
      <c r="P16" s="4">
        <v>0</v>
      </c>
      <c r="Q16" s="4">
        <v>0</v>
      </c>
      <c r="R16" s="4">
        <v>0</v>
      </c>
      <c r="S16" s="4">
        <v>0</v>
      </c>
      <c r="T16" s="3">
        <f t="shared" si="1"/>
        <v>755</v>
      </c>
      <c r="U16" s="3">
        <v>0</v>
      </c>
      <c r="V16" s="3">
        <v>755</v>
      </c>
      <c r="W16" s="3">
        <v>0</v>
      </c>
      <c r="X16" s="3">
        <v>262</v>
      </c>
      <c r="Y16" s="3">
        <v>1</v>
      </c>
      <c r="Z16" s="2" t="s">
        <v>81</v>
      </c>
      <c r="AA16" s="2" t="s">
        <v>2</v>
      </c>
      <c r="AB16" s="4">
        <v>0</v>
      </c>
      <c r="AC16" s="4">
        <f t="shared" si="2"/>
        <v>0</v>
      </c>
      <c r="AD16" s="4">
        <f t="shared" si="3"/>
        <v>0</v>
      </c>
      <c r="AE16" s="4">
        <v>0</v>
      </c>
      <c r="AF16" s="4">
        <v>0</v>
      </c>
      <c r="AG16" s="4">
        <f t="shared" si="4"/>
        <v>0</v>
      </c>
      <c r="AH16" s="4">
        <v>0</v>
      </c>
      <c r="AI16" s="4">
        <v>0</v>
      </c>
      <c r="AJ16" s="2" t="s">
        <v>2</v>
      </c>
    </row>
    <row r="17" spans="1:36" ht="24" customHeight="1" x14ac:dyDescent="0.3">
      <c r="A17" s="2" t="s">
        <v>96</v>
      </c>
      <c r="B17" s="11"/>
      <c r="C17" s="11"/>
      <c r="D17" s="2" t="s">
        <v>97</v>
      </c>
      <c r="E17" s="2" t="s">
        <v>98</v>
      </c>
      <c r="F17" s="2" t="s">
        <v>71</v>
      </c>
      <c r="G17" s="2" t="s">
        <v>2</v>
      </c>
      <c r="H17" s="2" t="s">
        <v>2</v>
      </c>
      <c r="I17" s="2" t="s">
        <v>99</v>
      </c>
      <c r="J17" s="4">
        <v>0.8</v>
      </c>
      <c r="K17" s="3">
        <v>8</v>
      </c>
      <c r="L17" s="2" t="s">
        <v>47</v>
      </c>
      <c r="M17" s="2" t="s">
        <v>72</v>
      </c>
      <c r="N17" s="4">
        <v>0</v>
      </c>
      <c r="O17" s="4">
        <f t="shared" si="0"/>
        <v>0</v>
      </c>
      <c r="P17" s="4">
        <v>0</v>
      </c>
      <c r="Q17" s="4">
        <v>0</v>
      </c>
      <c r="R17" s="4">
        <v>0</v>
      </c>
      <c r="S17" s="4">
        <v>0</v>
      </c>
      <c r="T17" s="3">
        <f t="shared" si="1"/>
        <v>597</v>
      </c>
      <c r="U17" s="3">
        <v>359</v>
      </c>
      <c r="V17" s="3">
        <v>119</v>
      </c>
      <c r="W17" s="3">
        <v>119</v>
      </c>
      <c r="X17" s="3">
        <v>25</v>
      </c>
      <c r="Y17" s="3">
        <v>1</v>
      </c>
      <c r="Z17" s="2" t="s">
        <v>100</v>
      </c>
      <c r="AA17" s="2" t="s">
        <v>2</v>
      </c>
      <c r="AB17" s="4">
        <v>0</v>
      </c>
      <c r="AC17" s="4">
        <f t="shared" si="2"/>
        <v>0</v>
      </c>
      <c r="AD17" s="4">
        <f t="shared" si="3"/>
        <v>0</v>
      </c>
      <c r="AE17" s="4">
        <v>0</v>
      </c>
      <c r="AF17" s="4">
        <v>0</v>
      </c>
      <c r="AG17" s="4">
        <f t="shared" si="4"/>
        <v>0</v>
      </c>
      <c r="AH17" s="4">
        <v>0</v>
      </c>
      <c r="AI17" s="4">
        <v>0</v>
      </c>
      <c r="AJ17" s="2" t="s">
        <v>2</v>
      </c>
    </row>
  </sheetData>
  <autoFilter ref="A6:AJ6" xr:uid="{00000000-0009-0000-0000-000000000000}"/>
  <mergeCells count="31">
    <mergeCell ref="B7:B17"/>
    <mergeCell ref="C7"/>
    <mergeCell ref="C8"/>
    <mergeCell ref="C9"/>
    <mergeCell ref="C10"/>
    <mergeCell ref="C11:C17"/>
    <mergeCell ref="AJ4:AJ6"/>
    <mergeCell ref="AC5:AC6"/>
    <mergeCell ref="AD5:AF5"/>
    <mergeCell ref="AG5:AI5"/>
    <mergeCell ref="Y4:Y6"/>
    <mergeCell ref="Z4:Z6"/>
    <mergeCell ref="AA4:AA6"/>
    <mergeCell ref="AB4:AB6"/>
    <mergeCell ref="AC4:AI4"/>
    <mergeCell ref="A1:AJ1"/>
    <mergeCell ref="A2:AJ2"/>
    <mergeCell ref="A4:A6"/>
    <mergeCell ref="B4:B6"/>
    <mergeCell ref="C4:C6"/>
    <mergeCell ref="D4:D6"/>
    <mergeCell ref="E4:E6"/>
    <mergeCell ref="F4:I5"/>
    <mergeCell ref="J4:J5"/>
    <mergeCell ref="K4:K5"/>
    <mergeCell ref="L4:L6"/>
    <mergeCell ref="M4:M6"/>
    <mergeCell ref="N4:N5"/>
    <mergeCell ref="O4:S5"/>
    <mergeCell ref="T4:W5"/>
    <mergeCell ref="X4:X6"/>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35"/>
  <sheetViews>
    <sheetView workbookViewId="0">
      <selection activeCell="B8" sqref="B8:B35"/>
    </sheetView>
  </sheetViews>
  <sheetFormatPr defaultRowHeight="16.5" x14ac:dyDescent="0.3"/>
  <cols>
    <col min="1" max="1" width="6" customWidth="1"/>
    <col min="2" max="3" width="12.625" customWidth="1"/>
    <col min="4" max="4" width="17.875" customWidth="1"/>
    <col min="5" max="5" width="41.125" customWidth="1"/>
    <col min="6" max="6" width="22.25" customWidth="1"/>
    <col min="7" max="7" width="10.375" customWidth="1"/>
    <col min="8" max="8" width="20.75" customWidth="1"/>
    <col min="9" max="9" width="19.25" customWidth="1"/>
    <col min="10" max="10" width="10.5" customWidth="1"/>
    <col min="11" max="11" width="8.875" customWidth="1"/>
    <col min="12" max="12" width="11.875" customWidth="1"/>
    <col min="13" max="13" width="15.25" customWidth="1"/>
    <col min="14" max="18" width="10.375" customWidth="1"/>
    <col min="19" max="25" width="11.875" customWidth="1"/>
    <col min="26" max="26" width="7.375" customWidth="1"/>
    <col min="27" max="28" width="13.375" customWidth="1"/>
    <col min="29" max="33" width="10.375" customWidth="1"/>
    <col min="34" max="34" width="14.875" customWidth="1"/>
    <col min="35" max="35" width="10.375" customWidth="1"/>
  </cols>
  <sheetData>
    <row r="1" spans="1:35" ht="18.75" x14ac:dyDescent="0.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row>
    <row r="2" spans="1:35" x14ac:dyDescent="0.3">
      <c r="A2" s="9" t="s">
        <v>162</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5"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t="s">
        <v>2</v>
      </c>
    </row>
    <row r="4" spans="1:35" ht="24" customHeight="1" x14ac:dyDescent="0.3">
      <c r="A4" s="10" t="s">
        <v>3</v>
      </c>
      <c r="B4" s="10" t="s">
        <v>4</v>
      </c>
      <c r="C4" s="10" t="s">
        <v>5</v>
      </c>
      <c r="D4" s="10" t="s">
        <v>6</v>
      </c>
      <c r="E4" s="10" t="s">
        <v>7</v>
      </c>
      <c r="F4" s="10" t="s">
        <v>163</v>
      </c>
      <c r="G4" s="10" t="s">
        <v>164</v>
      </c>
      <c r="H4" s="10"/>
      <c r="I4" s="10"/>
      <c r="J4" s="10"/>
      <c r="K4" s="10" t="s">
        <v>9</v>
      </c>
      <c r="L4" s="10" t="s">
        <v>10</v>
      </c>
      <c r="M4" s="10" t="s">
        <v>13</v>
      </c>
      <c r="N4" s="10" t="s">
        <v>14</v>
      </c>
      <c r="O4" s="10"/>
      <c r="P4" s="10"/>
      <c r="Q4" s="10"/>
      <c r="R4" s="10"/>
      <c r="S4" s="10" t="s">
        <v>165</v>
      </c>
      <c r="T4" s="10"/>
      <c r="U4" s="10"/>
      <c r="V4" s="10"/>
      <c r="W4" s="10" t="s">
        <v>166</v>
      </c>
      <c r="X4" s="10" t="s">
        <v>18</v>
      </c>
      <c r="Y4" s="10" t="s">
        <v>19</v>
      </c>
      <c r="Z4" s="10" t="s">
        <v>167</v>
      </c>
      <c r="AA4" s="10" t="s">
        <v>168</v>
      </c>
      <c r="AB4" s="10"/>
      <c r="AC4" s="10"/>
      <c r="AD4" s="10"/>
      <c r="AE4" s="10"/>
      <c r="AF4" s="10"/>
      <c r="AG4" s="10"/>
      <c r="AH4" s="10"/>
      <c r="AI4" s="10" t="s">
        <v>22</v>
      </c>
    </row>
    <row r="5" spans="1:35" ht="24" customHeight="1"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t="s">
        <v>169</v>
      </c>
      <c r="AB5" s="10"/>
      <c r="AC5" s="10" t="s">
        <v>170</v>
      </c>
      <c r="AD5" s="10"/>
      <c r="AE5" s="10"/>
      <c r="AF5" s="10"/>
      <c r="AG5" s="10"/>
      <c r="AH5" s="10"/>
      <c r="AI5" s="10"/>
    </row>
    <row r="6" spans="1:35" ht="24" customHeight="1" x14ac:dyDescent="0.3">
      <c r="A6" s="10"/>
      <c r="B6" s="10"/>
      <c r="C6" s="10"/>
      <c r="D6" s="10"/>
      <c r="E6" s="10"/>
      <c r="F6" s="10"/>
      <c r="G6" s="10" t="s">
        <v>26</v>
      </c>
      <c r="H6" s="10" t="s">
        <v>27</v>
      </c>
      <c r="I6" s="10" t="s">
        <v>28</v>
      </c>
      <c r="J6" s="10" t="s">
        <v>29</v>
      </c>
      <c r="K6" s="10"/>
      <c r="L6" s="10"/>
      <c r="M6" s="10"/>
      <c r="N6" s="10"/>
      <c r="O6" s="10"/>
      <c r="P6" s="10"/>
      <c r="Q6" s="10"/>
      <c r="R6" s="10"/>
      <c r="S6" s="10"/>
      <c r="T6" s="10"/>
      <c r="U6" s="10"/>
      <c r="V6" s="10"/>
      <c r="W6" s="10"/>
      <c r="X6" s="10"/>
      <c r="Y6" s="10"/>
      <c r="Z6" s="10"/>
      <c r="AA6" s="10" t="s">
        <v>171</v>
      </c>
      <c r="AB6" s="10" t="s">
        <v>172</v>
      </c>
      <c r="AC6" s="10" t="s">
        <v>173</v>
      </c>
      <c r="AD6" s="10"/>
      <c r="AE6" s="10"/>
      <c r="AF6" s="10"/>
      <c r="AG6" s="10"/>
      <c r="AH6" s="1" t="s">
        <v>174</v>
      </c>
      <c r="AI6" s="10"/>
    </row>
    <row r="7" spans="1:35" ht="36" customHeight="1" x14ac:dyDescent="0.3">
      <c r="A7" s="10"/>
      <c r="B7" s="10"/>
      <c r="C7" s="10"/>
      <c r="D7" s="10"/>
      <c r="E7" s="10"/>
      <c r="F7" s="10"/>
      <c r="G7" s="10"/>
      <c r="H7" s="10"/>
      <c r="I7" s="10"/>
      <c r="J7" s="10"/>
      <c r="K7" s="1" t="s">
        <v>30</v>
      </c>
      <c r="L7" s="1" t="s">
        <v>31</v>
      </c>
      <c r="M7" s="1" t="s">
        <v>32</v>
      </c>
      <c r="N7" s="1" t="s">
        <v>33</v>
      </c>
      <c r="O7" s="1" t="s">
        <v>34</v>
      </c>
      <c r="P7" s="1" t="s">
        <v>35</v>
      </c>
      <c r="Q7" s="1" t="s">
        <v>36</v>
      </c>
      <c r="R7" s="1" t="s">
        <v>37</v>
      </c>
      <c r="S7" s="1" t="s">
        <v>33</v>
      </c>
      <c r="T7" s="1" t="s">
        <v>38</v>
      </c>
      <c r="U7" s="1" t="s">
        <v>39</v>
      </c>
      <c r="V7" s="1" t="s">
        <v>37</v>
      </c>
      <c r="W7" s="10"/>
      <c r="X7" s="10"/>
      <c r="Y7" s="10"/>
      <c r="Z7" s="10"/>
      <c r="AA7" s="10"/>
      <c r="AB7" s="10"/>
      <c r="AC7" s="1" t="s">
        <v>175</v>
      </c>
      <c r="AD7" s="1" t="s">
        <v>176</v>
      </c>
      <c r="AE7" s="1" t="s">
        <v>177</v>
      </c>
      <c r="AF7" s="1" t="s">
        <v>178</v>
      </c>
      <c r="AG7" s="1" t="s">
        <v>179</v>
      </c>
      <c r="AH7" s="1" t="s">
        <v>180</v>
      </c>
      <c r="AI7" s="10"/>
    </row>
    <row r="8" spans="1:35" ht="24" customHeight="1" x14ac:dyDescent="0.3">
      <c r="A8" s="2" t="s">
        <v>181</v>
      </c>
      <c r="B8" s="11" t="s">
        <v>55</v>
      </c>
      <c r="C8" s="11" t="s">
        <v>40</v>
      </c>
      <c r="D8" s="2" t="s">
        <v>2</v>
      </c>
      <c r="E8" s="2" t="s">
        <v>2</v>
      </c>
      <c r="F8" s="2" t="s">
        <v>2</v>
      </c>
      <c r="G8" s="2" t="s">
        <v>2</v>
      </c>
      <c r="H8" s="2" t="s">
        <v>2</v>
      </c>
      <c r="I8" s="2" t="s">
        <v>2</v>
      </c>
      <c r="J8" s="2" t="s">
        <v>2</v>
      </c>
      <c r="K8" s="4">
        <v>1280</v>
      </c>
      <c r="L8" s="3">
        <v>10</v>
      </c>
      <c r="M8" s="4">
        <v>279118.8</v>
      </c>
      <c r="N8" s="4">
        <f t="shared" ref="N8:N11" si="0">SUM(O8:R8)</f>
        <v>41002.1</v>
      </c>
      <c r="O8" s="4">
        <v>2921</v>
      </c>
      <c r="P8" s="4">
        <v>25847.8</v>
      </c>
      <c r="Q8" s="4">
        <v>12233.3</v>
      </c>
      <c r="R8" s="4">
        <v>0</v>
      </c>
      <c r="S8" s="3">
        <f t="shared" ref="S8:S11" si="1">SUM(T8:V8)</f>
        <v>159732</v>
      </c>
      <c r="T8" s="3">
        <v>23985</v>
      </c>
      <c r="U8" s="3">
        <v>135747</v>
      </c>
      <c r="V8" s="3">
        <v>0</v>
      </c>
      <c r="W8" s="3">
        <v>32050</v>
      </c>
      <c r="X8" s="2" t="s">
        <v>2</v>
      </c>
      <c r="Y8" s="2" t="s">
        <v>2</v>
      </c>
      <c r="Z8" s="2" t="s">
        <v>2</v>
      </c>
      <c r="AA8" s="4">
        <v>10639291</v>
      </c>
      <c r="AB8" s="4">
        <v>6580177.4000000004</v>
      </c>
      <c r="AC8" s="4">
        <f t="shared" ref="AC8:AC11" si="2">SUM(AD8:AG8)</f>
        <v>5209614.4000000004</v>
      </c>
      <c r="AD8" s="4">
        <v>273044</v>
      </c>
      <c r="AE8" s="4">
        <v>4917837.4000000004</v>
      </c>
      <c r="AF8" s="4">
        <v>0</v>
      </c>
      <c r="AG8" s="4">
        <v>18733</v>
      </c>
      <c r="AH8" s="4">
        <v>1487273.8</v>
      </c>
      <c r="AI8" s="2" t="s">
        <v>2</v>
      </c>
    </row>
    <row r="9" spans="1:35" ht="24" customHeight="1" x14ac:dyDescent="0.3">
      <c r="A9" s="2" t="s">
        <v>46</v>
      </c>
      <c r="B9" s="11"/>
      <c r="C9" s="11" t="s">
        <v>56</v>
      </c>
      <c r="D9" s="2" t="s">
        <v>201</v>
      </c>
      <c r="E9" s="2" t="s">
        <v>202</v>
      </c>
      <c r="F9" s="2" t="s">
        <v>183</v>
      </c>
      <c r="G9" s="2" t="s">
        <v>26</v>
      </c>
      <c r="H9" s="2" t="s">
        <v>2</v>
      </c>
      <c r="I9" s="2" t="s">
        <v>2</v>
      </c>
      <c r="J9" s="2" t="s">
        <v>2</v>
      </c>
      <c r="K9" s="4">
        <v>50</v>
      </c>
      <c r="L9" s="3">
        <v>8</v>
      </c>
      <c r="M9" s="4">
        <v>9904.4</v>
      </c>
      <c r="N9" s="4">
        <f t="shared" si="0"/>
        <v>2565.8000000000002</v>
      </c>
      <c r="O9" s="4">
        <v>0</v>
      </c>
      <c r="P9" s="4">
        <v>2565.8000000000002</v>
      </c>
      <c r="Q9" s="4">
        <v>0</v>
      </c>
      <c r="R9" s="4">
        <v>0</v>
      </c>
      <c r="S9" s="3">
        <f t="shared" si="1"/>
        <v>8741</v>
      </c>
      <c r="T9" s="3">
        <v>2622</v>
      </c>
      <c r="U9" s="3">
        <v>6119</v>
      </c>
      <c r="V9" s="3">
        <v>0</v>
      </c>
      <c r="W9" s="3">
        <v>2525</v>
      </c>
      <c r="X9" s="2" t="s">
        <v>203</v>
      </c>
      <c r="Y9" s="2" t="s">
        <v>2</v>
      </c>
      <c r="Z9" s="2" t="s">
        <v>185</v>
      </c>
      <c r="AA9" s="4">
        <v>0</v>
      </c>
      <c r="AB9" s="4">
        <v>0</v>
      </c>
      <c r="AC9" s="4">
        <f t="shared" si="2"/>
        <v>0</v>
      </c>
      <c r="AD9" s="4">
        <v>0</v>
      </c>
      <c r="AE9" s="4">
        <v>0</v>
      </c>
      <c r="AF9" s="4">
        <v>0</v>
      </c>
      <c r="AG9" s="4">
        <v>0</v>
      </c>
      <c r="AH9" s="4">
        <v>0</v>
      </c>
      <c r="AI9" s="2" t="s">
        <v>2</v>
      </c>
    </row>
    <row r="10" spans="1:35" ht="24" customHeight="1" x14ac:dyDescent="0.3">
      <c r="A10" s="2" t="s">
        <v>49</v>
      </c>
      <c r="B10" s="11"/>
      <c r="C10" s="11"/>
      <c r="D10" s="2" t="s">
        <v>204</v>
      </c>
      <c r="E10" s="2" t="s">
        <v>205</v>
      </c>
      <c r="F10" s="2" t="s">
        <v>198</v>
      </c>
      <c r="G10" s="2" t="s">
        <v>26</v>
      </c>
      <c r="H10" s="2" t="s">
        <v>2</v>
      </c>
      <c r="I10" s="2" t="s">
        <v>2</v>
      </c>
      <c r="J10" s="2" t="s">
        <v>2</v>
      </c>
      <c r="K10" s="4">
        <v>181</v>
      </c>
      <c r="L10" s="3">
        <v>20</v>
      </c>
      <c r="M10" s="4">
        <v>33850.1</v>
      </c>
      <c r="N10" s="4">
        <f t="shared" si="0"/>
        <v>19462.400000000001</v>
      </c>
      <c r="O10" s="4">
        <v>0</v>
      </c>
      <c r="P10" s="4">
        <v>19462.400000000001</v>
      </c>
      <c r="Q10" s="4">
        <v>0</v>
      </c>
      <c r="R10" s="4">
        <v>0</v>
      </c>
      <c r="S10" s="3">
        <f t="shared" si="1"/>
        <v>62857</v>
      </c>
      <c r="T10" s="3">
        <v>0</v>
      </c>
      <c r="U10" s="3">
        <v>62857</v>
      </c>
      <c r="V10" s="3">
        <v>0</v>
      </c>
      <c r="W10" s="3">
        <v>6913</v>
      </c>
      <c r="X10" s="2" t="s">
        <v>206</v>
      </c>
      <c r="Y10" s="2" t="s">
        <v>2</v>
      </c>
      <c r="Z10" s="2" t="s">
        <v>185</v>
      </c>
      <c r="AA10" s="4">
        <v>0</v>
      </c>
      <c r="AB10" s="4">
        <v>0</v>
      </c>
      <c r="AC10" s="4">
        <f t="shared" si="2"/>
        <v>0</v>
      </c>
      <c r="AD10" s="4">
        <v>0</v>
      </c>
      <c r="AE10" s="4">
        <v>0</v>
      </c>
      <c r="AF10" s="4">
        <v>0</v>
      </c>
      <c r="AG10" s="4">
        <v>0</v>
      </c>
      <c r="AH10" s="4">
        <v>0</v>
      </c>
      <c r="AI10" s="2" t="s">
        <v>2</v>
      </c>
    </row>
    <row r="11" spans="1:35" ht="24" customHeight="1" x14ac:dyDescent="0.3">
      <c r="A11" s="2" t="s">
        <v>50</v>
      </c>
      <c r="B11" s="11"/>
      <c r="C11" s="11"/>
      <c r="D11" s="2" t="s">
        <v>207</v>
      </c>
      <c r="E11" s="2" t="s">
        <v>208</v>
      </c>
      <c r="F11" s="2" t="s">
        <v>190</v>
      </c>
      <c r="G11" s="2" t="s">
        <v>209</v>
      </c>
      <c r="H11" s="2" t="s">
        <v>2</v>
      </c>
      <c r="I11" s="2" t="s">
        <v>2</v>
      </c>
      <c r="J11" s="2" t="s">
        <v>2</v>
      </c>
      <c r="K11" s="4">
        <v>200</v>
      </c>
      <c r="L11" s="3">
        <v>24</v>
      </c>
      <c r="M11" s="4">
        <v>43069.8</v>
      </c>
      <c r="N11" s="4">
        <f t="shared" si="0"/>
        <v>2386.1999999999998</v>
      </c>
      <c r="O11" s="4">
        <v>0</v>
      </c>
      <c r="P11" s="4">
        <v>2386.1999999999998</v>
      </c>
      <c r="Q11" s="4">
        <v>0</v>
      </c>
      <c r="R11" s="4">
        <v>0</v>
      </c>
      <c r="S11" s="3">
        <f t="shared" si="1"/>
        <v>20952</v>
      </c>
      <c r="T11" s="3">
        <v>5682</v>
      </c>
      <c r="U11" s="3">
        <v>15270</v>
      </c>
      <c r="V11" s="3">
        <v>0</v>
      </c>
      <c r="W11" s="3">
        <v>6346</v>
      </c>
      <c r="X11" s="2" t="s">
        <v>210</v>
      </c>
      <c r="Y11" s="2" t="s">
        <v>2</v>
      </c>
      <c r="Z11" s="2" t="s">
        <v>188</v>
      </c>
      <c r="AA11" s="4">
        <v>291777</v>
      </c>
      <c r="AB11" s="4">
        <v>175066.2</v>
      </c>
      <c r="AC11" s="4">
        <f t="shared" si="2"/>
        <v>291777</v>
      </c>
      <c r="AD11" s="4">
        <v>273044</v>
      </c>
      <c r="AE11" s="4">
        <v>0</v>
      </c>
      <c r="AF11" s="4">
        <v>0</v>
      </c>
      <c r="AG11" s="4">
        <v>18733</v>
      </c>
      <c r="AH11" s="4">
        <v>0</v>
      </c>
      <c r="AI11" s="2" t="s">
        <v>2</v>
      </c>
    </row>
    <row r="12" spans="1:35" ht="24" customHeight="1" x14ac:dyDescent="0.3">
      <c r="A12" s="2" t="s">
        <v>51</v>
      </c>
      <c r="B12" s="11"/>
      <c r="C12" s="11" t="s">
        <v>211</v>
      </c>
      <c r="D12" s="2" t="s">
        <v>212</v>
      </c>
      <c r="E12" s="2" t="s">
        <v>213</v>
      </c>
      <c r="F12" s="2" t="s">
        <v>190</v>
      </c>
      <c r="G12" s="2" t="s">
        <v>209</v>
      </c>
      <c r="H12" s="2" t="s">
        <v>2</v>
      </c>
      <c r="I12" s="2" t="s">
        <v>2</v>
      </c>
      <c r="J12" s="2" t="s">
        <v>2</v>
      </c>
      <c r="K12" s="4">
        <v>150</v>
      </c>
      <c r="L12" s="3">
        <v>8</v>
      </c>
      <c r="M12" s="4">
        <v>23438</v>
      </c>
      <c r="N12" s="4">
        <f t="shared" ref="N12:N35" si="3">SUM(O12:R12)</f>
        <v>3761</v>
      </c>
      <c r="O12" s="4">
        <v>2921</v>
      </c>
      <c r="P12" s="4">
        <v>0</v>
      </c>
      <c r="Q12" s="4">
        <v>840</v>
      </c>
      <c r="R12" s="4">
        <v>0</v>
      </c>
      <c r="S12" s="3">
        <f t="shared" ref="S12:S35" si="4">SUM(T12:V12)</f>
        <v>13201</v>
      </c>
      <c r="T12" s="3">
        <v>0</v>
      </c>
      <c r="U12" s="3">
        <v>13201</v>
      </c>
      <c r="V12" s="3">
        <v>0</v>
      </c>
      <c r="W12" s="3">
        <v>4107</v>
      </c>
      <c r="X12" s="2" t="s">
        <v>214</v>
      </c>
      <c r="Y12" s="2" t="s">
        <v>2</v>
      </c>
      <c r="Z12" s="2" t="s">
        <v>185</v>
      </c>
      <c r="AA12" s="4">
        <v>0</v>
      </c>
      <c r="AB12" s="4">
        <v>0</v>
      </c>
      <c r="AC12" s="4">
        <f t="shared" ref="AC12:AC35" si="5">SUM(AD12:AG12)</f>
        <v>0</v>
      </c>
      <c r="AD12" s="4">
        <v>0</v>
      </c>
      <c r="AE12" s="4">
        <v>0</v>
      </c>
      <c r="AF12" s="4">
        <v>0</v>
      </c>
      <c r="AG12" s="4">
        <v>0</v>
      </c>
      <c r="AH12" s="4">
        <v>0</v>
      </c>
      <c r="AI12" s="2" t="s">
        <v>2</v>
      </c>
    </row>
    <row r="13" spans="1:35" ht="24" customHeight="1" x14ac:dyDescent="0.3">
      <c r="A13" s="2" t="s">
        <v>52</v>
      </c>
      <c r="B13" s="11"/>
      <c r="C13" s="11" t="s">
        <v>215</v>
      </c>
      <c r="D13" s="2" t="s">
        <v>216</v>
      </c>
      <c r="E13" s="2" t="s">
        <v>217</v>
      </c>
      <c r="F13" s="2" t="s">
        <v>37</v>
      </c>
      <c r="G13" s="2" t="s">
        <v>26</v>
      </c>
      <c r="H13" s="2" t="s">
        <v>2</v>
      </c>
      <c r="I13" s="2" t="s">
        <v>2</v>
      </c>
      <c r="J13" s="2" t="s">
        <v>2</v>
      </c>
      <c r="K13" s="4">
        <v>17</v>
      </c>
      <c r="L13" s="3">
        <v>8</v>
      </c>
      <c r="M13" s="4">
        <v>0</v>
      </c>
      <c r="N13" s="4">
        <f t="shared" si="3"/>
        <v>0</v>
      </c>
      <c r="O13" s="4">
        <v>0</v>
      </c>
      <c r="P13" s="4">
        <v>0</v>
      </c>
      <c r="Q13" s="4">
        <v>0</v>
      </c>
      <c r="R13" s="4">
        <v>0</v>
      </c>
      <c r="S13" s="3">
        <f t="shared" si="4"/>
        <v>490</v>
      </c>
      <c r="T13" s="3">
        <v>0</v>
      </c>
      <c r="U13" s="3">
        <v>490</v>
      </c>
      <c r="V13" s="3">
        <v>0</v>
      </c>
      <c r="W13" s="3">
        <v>6</v>
      </c>
      <c r="X13" s="2" t="s">
        <v>218</v>
      </c>
      <c r="Y13" s="2" t="s">
        <v>2</v>
      </c>
      <c r="Z13" s="2" t="s">
        <v>185</v>
      </c>
      <c r="AA13" s="4">
        <v>0</v>
      </c>
      <c r="AB13" s="4">
        <v>0</v>
      </c>
      <c r="AC13" s="4">
        <f t="shared" si="5"/>
        <v>0</v>
      </c>
      <c r="AD13" s="4">
        <v>0</v>
      </c>
      <c r="AE13" s="4">
        <v>0</v>
      </c>
      <c r="AF13" s="4">
        <v>0</v>
      </c>
      <c r="AG13" s="4">
        <v>0</v>
      </c>
      <c r="AH13" s="4">
        <v>0</v>
      </c>
      <c r="AI13" s="2" t="s">
        <v>2</v>
      </c>
    </row>
    <row r="14" spans="1:35" ht="24" customHeight="1" x14ac:dyDescent="0.3">
      <c r="A14" s="2" t="s">
        <v>77</v>
      </c>
      <c r="B14" s="11"/>
      <c r="C14" s="11" t="s">
        <v>60</v>
      </c>
      <c r="D14" s="2" t="s">
        <v>219</v>
      </c>
      <c r="E14" s="2" t="s">
        <v>220</v>
      </c>
      <c r="F14" s="2" t="s">
        <v>187</v>
      </c>
      <c r="G14" s="2" t="s">
        <v>196</v>
      </c>
      <c r="H14" s="2" t="s">
        <v>2</v>
      </c>
      <c r="I14" s="2" t="s">
        <v>2</v>
      </c>
      <c r="J14" s="2" t="s">
        <v>2</v>
      </c>
      <c r="K14" s="4">
        <v>500</v>
      </c>
      <c r="L14" s="3">
        <v>24</v>
      </c>
      <c r="M14" s="4">
        <v>141555.70000000001</v>
      </c>
      <c r="N14" s="4">
        <f t="shared" si="3"/>
        <v>11283.1</v>
      </c>
      <c r="O14" s="4">
        <v>0</v>
      </c>
      <c r="P14" s="4">
        <v>0</v>
      </c>
      <c r="Q14" s="4">
        <v>11283.1</v>
      </c>
      <c r="R14" s="4">
        <v>0</v>
      </c>
      <c r="S14" s="3">
        <f t="shared" si="4"/>
        <v>44200</v>
      </c>
      <c r="T14" s="3">
        <v>12700</v>
      </c>
      <c r="U14" s="3">
        <v>31500</v>
      </c>
      <c r="V14" s="3">
        <v>0</v>
      </c>
      <c r="W14" s="3">
        <v>7965</v>
      </c>
      <c r="X14" s="2" t="s">
        <v>221</v>
      </c>
      <c r="Y14" s="2" t="s">
        <v>2</v>
      </c>
      <c r="Z14" s="2" t="s">
        <v>188</v>
      </c>
      <c r="AA14" s="4">
        <v>10347514</v>
      </c>
      <c r="AB14" s="4">
        <v>6405111.2000000002</v>
      </c>
      <c r="AC14" s="4">
        <f t="shared" si="5"/>
        <v>4917837.4000000004</v>
      </c>
      <c r="AD14" s="4">
        <v>0</v>
      </c>
      <c r="AE14" s="4">
        <v>4917837.4000000004</v>
      </c>
      <c r="AF14" s="4">
        <v>0</v>
      </c>
      <c r="AG14" s="4">
        <v>0</v>
      </c>
      <c r="AH14" s="4">
        <v>1487273.8</v>
      </c>
      <c r="AI14" s="2" t="s">
        <v>2</v>
      </c>
    </row>
    <row r="15" spans="1:35" ht="24" customHeight="1" x14ac:dyDescent="0.3">
      <c r="A15" s="2" t="s">
        <v>82</v>
      </c>
      <c r="B15" s="11"/>
      <c r="C15" s="11"/>
      <c r="D15" s="2" t="s">
        <v>222</v>
      </c>
      <c r="E15" s="2" t="s">
        <v>62</v>
      </c>
      <c r="F15" s="2" t="s">
        <v>190</v>
      </c>
      <c r="G15" s="2" t="s">
        <v>196</v>
      </c>
      <c r="H15" s="2" t="s">
        <v>2</v>
      </c>
      <c r="I15" s="2" t="s">
        <v>2</v>
      </c>
      <c r="J15" s="2" t="s">
        <v>2</v>
      </c>
      <c r="K15" s="4">
        <v>100</v>
      </c>
      <c r="L15" s="3">
        <v>24</v>
      </c>
      <c r="M15" s="4">
        <v>24737.1</v>
      </c>
      <c r="N15" s="4">
        <f t="shared" si="3"/>
        <v>1433.4</v>
      </c>
      <c r="O15" s="4">
        <v>0</v>
      </c>
      <c r="P15" s="4">
        <v>1433.4</v>
      </c>
      <c r="Q15" s="4">
        <v>0</v>
      </c>
      <c r="R15" s="4">
        <v>0</v>
      </c>
      <c r="S15" s="3">
        <f t="shared" si="4"/>
        <v>4000</v>
      </c>
      <c r="T15" s="3">
        <v>2000</v>
      </c>
      <c r="U15" s="3">
        <v>2000</v>
      </c>
      <c r="V15" s="3">
        <v>0</v>
      </c>
      <c r="W15" s="3">
        <v>3934</v>
      </c>
      <c r="X15" s="2" t="s">
        <v>223</v>
      </c>
      <c r="Y15" s="2" t="s">
        <v>2</v>
      </c>
      <c r="Z15" s="2" t="s">
        <v>185</v>
      </c>
      <c r="AA15" s="4">
        <v>0</v>
      </c>
      <c r="AB15" s="4">
        <v>0</v>
      </c>
      <c r="AC15" s="4">
        <f t="shared" si="5"/>
        <v>0</v>
      </c>
      <c r="AD15" s="4">
        <v>0</v>
      </c>
      <c r="AE15" s="4">
        <v>0</v>
      </c>
      <c r="AF15" s="4">
        <v>0</v>
      </c>
      <c r="AG15" s="4">
        <v>0</v>
      </c>
      <c r="AH15" s="4">
        <v>0</v>
      </c>
      <c r="AI15" s="2" t="s">
        <v>2</v>
      </c>
    </row>
    <row r="16" spans="1:35" ht="24" customHeight="1" x14ac:dyDescent="0.3">
      <c r="A16" s="2" t="s">
        <v>87</v>
      </c>
      <c r="B16" s="11"/>
      <c r="C16" s="11" t="s">
        <v>68</v>
      </c>
      <c r="D16" s="2" t="s">
        <v>224</v>
      </c>
      <c r="E16" s="2" t="s">
        <v>70</v>
      </c>
      <c r="F16" s="2" t="s">
        <v>183</v>
      </c>
      <c r="G16" s="2" t="s">
        <v>197</v>
      </c>
      <c r="H16" s="2" t="s">
        <v>197</v>
      </c>
      <c r="I16" s="2" t="s">
        <v>2</v>
      </c>
      <c r="J16" s="2" t="s">
        <v>2</v>
      </c>
      <c r="K16" s="4">
        <v>5</v>
      </c>
      <c r="L16" s="3">
        <v>8</v>
      </c>
      <c r="M16" s="4">
        <v>116.3</v>
      </c>
      <c r="N16" s="4">
        <f t="shared" si="3"/>
        <v>0</v>
      </c>
      <c r="O16" s="4">
        <v>0</v>
      </c>
      <c r="P16" s="4">
        <v>0</v>
      </c>
      <c r="Q16" s="4">
        <v>0</v>
      </c>
      <c r="R16" s="4">
        <v>0</v>
      </c>
      <c r="S16" s="3">
        <f t="shared" si="4"/>
        <v>400</v>
      </c>
      <c r="T16" s="3">
        <v>120</v>
      </c>
      <c r="U16" s="3">
        <v>280</v>
      </c>
      <c r="V16" s="3">
        <v>0</v>
      </c>
      <c r="W16" s="3">
        <v>50</v>
      </c>
      <c r="X16" s="2" t="s">
        <v>225</v>
      </c>
      <c r="Y16" s="2" t="s">
        <v>2</v>
      </c>
      <c r="Z16" s="2" t="s">
        <v>185</v>
      </c>
      <c r="AA16" s="4">
        <v>0</v>
      </c>
      <c r="AB16" s="4">
        <v>0</v>
      </c>
      <c r="AC16" s="4">
        <f t="shared" si="5"/>
        <v>0</v>
      </c>
      <c r="AD16" s="4">
        <v>0</v>
      </c>
      <c r="AE16" s="4">
        <v>0</v>
      </c>
      <c r="AF16" s="4">
        <v>0</v>
      </c>
      <c r="AG16" s="4">
        <v>0</v>
      </c>
      <c r="AH16" s="4">
        <v>0</v>
      </c>
      <c r="AI16" s="2" t="s">
        <v>2</v>
      </c>
    </row>
    <row r="17" spans="1:35" ht="24" customHeight="1" x14ac:dyDescent="0.3">
      <c r="A17" s="2" t="s">
        <v>87</v>
      </c>
      <c r="B17" s="11"/>
      <c r="C17" s="11"/>
      <c r="D17" s="2" t="s">
        <v>226</v>
      </c>
      <c r="E17" s="2" t="s">
        <v>70</v>
      </c>
      <c r="F17" s="2" t="s">
        <v>37</v>
      </c>
      <c r="G17" s="2" t="s">
        <v>196</v>
      </c>
      <c r="H17" s="2" t="s">
        <v>2</v>
      </c>
      <c r="I17" s="2" t="s">
        <v>2</v>
      </c>
      <c r="J17" s="2" t="s">
        <v>2</v>
      </c>
      <c r="K17" s="4">
        <v>2</v>
      </c>
      <c r="L17" s="3">
        <v>8</v>
      </c>
      <c r="M17" s="4">
        <v>58.4</v>
      </c>
      <c r="N17" s="4">
        <f t="shared" si="3"/>
        <v>13</v>
      </c>
      <c r="O17" s="4">
        <v>0</v>
      </c>
      <c r="P17" s="4">
        <v>0</v>
      </c>
      <c r="Q17" s="4">
        <v>13</v>
      </c>
      <c r="R17" s="4">
        <v>0</v>
      </c>
      <c r="S17" s="3">
        <f t="shared" si="4"/>
        <v>188</v>
      </c>
      <c r="T17" s="3">
        <v>0</v>
      </c>
      <c r="U17" s="3">
        <v>188</v>
      </c>
      <c r="V17" s="3">
        <v>0</v>
      </c>
      <c r="W17" s="3">
        <v>7</v>
      </c>
      <c r="X17" s="2" t="s">
        <v>227</v>
      </c>
      <c r="Y17" s="2" t="s">
        <v>2</v>
      </c>
      <c r="Z17" s="2" t="s">
        <v>185</v>
      </c>
      <c r="AA17" s="4">
        <v>0</v>
      </c>
      <c r="AB17" s="4">
        <v>0</v>
      </c>
      <c r="AC17" s="4">
        <f t="shared" si="5"/>
        <v>0</v>
      </c>
      <c r="AD17" s="4">
        <v>0</v>
      </c>
      <c r="AE17" s="4">
        <v>0</v>
      </c>
      <c r="AF17" s="4">
        <v>0</v>
      </c>
      <c r="AG17" s="4">
        <v>0</v>
      </c>
      <c r="AH17" s="4">
        <v>0</v>
      </c>
      <c r="AI17" s="2" t="s">
        <v>2</v>
      </c>
    </row>
    <row r="18" spans="1:35" ht="24" customHeight="1" x14ac:dyDescent="0.3">
      <c r="A18" s="2" t="s">
        <v>92</v>
      </c>
      <c r="B18" s="11"/>
      <c r="C18" s="11"/>
      <c r="D18" s="2" t="s">
        <v>228</v>
      </c>
      <c r="E18" s="2" t="s">
        <v>229</v>
      </c>
      <c r="F18" s="2" t="s">
        <v>183</v>
      </c>
      <c r="G18" s="2" t="s">
        <v>197</v>
      </c>
      <c r="H18" s="2" t="s">
        <v>197</v>
      </c>
      <c r="I18" s="2" t="s">
        <v>2</v>
      </c>
      <c r="J18" s="2" t="s">
        <v>2</v>
      </c>
      <c r="K18" s="4">
        <v>2</v>
      </c>
      <c r="L18" s="3">
        <v>8</v>
      </c>
      <c r="M18" s="4">
        <v>28.2</v>
      </c>
      <c r="N18" s="4">
        <f t="shared" si="3"/>
        <v>0</v>
      </c>
      <c r="O18" s="4">
        <v>0</v>
      </c>
      <c r="P18" s="4">
        <v>0</v>
      </c>
      <c r="Q18" s="4">
        <v>0</v>
      </c>
      <c r="R18" s="4">
        <v>0</v>
      </c>
      <c r="S18" s="3">
        <f t="shared" si="4"/>
        <v>250</v>
      </c>
      <c r="T18" s="3">
        <v>60</v>
      </c>
      <c r="U18" s="3">
        <v>190</v>
      </c>
      <c r="V18" s="3">
        <v>0</v>
      </c>
      <c r="W18" s="3">
        <v>20</v>
      </c>
      <c r="X18" s="2" t="s">
        <v>199</v>
      </c>
      <c r="Y18" s="2" t="s">
        <v>2</v>
      </c>
      <c r="Z18" s="2" t="s">
        <v>185</v>
      </c>
      <c r="AA18" s="4">
        <v>0</v>
      </c>
      <c r="AB18" s="4">
        <v>0</v>
      </c>
      <c r="AC18" s="4">
        <f t="shared" si="5"/>
        <v>0</v>
      </c>
      <c r="AD18" s="4">
        <v>0</v>
      </c>
      <c r="AE18" s="4">
        <v>0</v>
      </c>
      <c r="AF18" s="4">
        <v>0</v>
      </c>
      <c r="AG18" s="4">
        <v>0</v>
      </c>
      <c r="AH18" s="4">
        <v>0</v>
      </c>
      <c r="AI18" s="2" t="s">
        <v>2</v>
      </c>
    </row>
    <row r="19" spans="1:35" ht="24" customHeight="1" x14ac:dyDescent="0.3">
      <c r="A19" s="2" t="s">
        <v>96</v>
      </c>
      <c r="B19" s="11"/>
      <c r="C19" s="11"/>
      <c r="D19" s="2" t="s">
        <v>230</v>
      </c>
      <c r="E19" s="2" t="s">
        <v>231</v>
      </c>
      <c r="F19" s="2" t="s">
        <v>183</v>
      </c>
      <c r="G19" s="2" t="s">
        <v>197</v>
      </c>
      <c r="H19" s="2" t="s">
        <v>197</v>
      </c>
      <c r="I19" s="2" t="s">
        <v>2</v>
      </c>
      <c r="J19" s="2" t="s">
        <v>2</v>
      </c>
      <c r="K19" s="4">
        <v>10</v>
      </c>
      <c r="L19" s="3">
        <v>8</v>
      </c>
      <c r="M19" s="4">
        <v>174.8</v>
      </c>
      <c r="N19" s="4">
        <f t="shared" si="3"/>
        <v>0</v>
      </c>
      <c r="O19" s="4">
        <v>0</v>
      </c>
      <c r="P19" s="4">
        <v>0</v>
      </c>
      <c r="Q19" s="4">
        <v>0</v>
      </c>
      <c r="R19" s="4">
        <v>0</v>
      </c>
      <c r="S19" s="3">
        <f t="shared" si="4"/>
        <v>450</v>
      </c>
      <c r="T19" s="3">
        <v>135</v>
      </c>
      <c r="U19" s="3">
        <v>315</v>
      </c>
      <c r="V19" s="3">
        <v>0</v>
      </c>
      <c r="W19" s="3">
        <v>13</v>
      </c>
      <c r="X19" s="2" t="s">
        <v>232</v>
      </c>
      <c r="Y19" s="2" t="s">
        <v>2</v>
      </c>
      <c r="Z19" s="2" t="s">
        <v>185</v>
      </c>
      <c r="AA19" s="4">
        <v>0</v>
      </c>
      <c r="AB19" s="4">
        <v>0</v>
      </c>
      <c r="AC19" s="4">
        <f t="shared" si="5"/>
        <v>0</v>
      </c>
      <c r="AD19" s="4">
        <v>0</v>
      </c>
      <c r="AE19" s="4">
        <v>0</v>
      </c>
      <c r="AF19" s="4">
        <v>0</v>
      </c>
      <c r="AG19" s="4">
        <v>0</v>
      </c>
      <c r="AH19" s="4">
        <v>0</v>
      </c>
      <c r="AI19" s="2" t="s">
        <v>2</v>
      </c>
    </row>
    <row r="20" spans="1:35" ht="24" customHeight="1" x14ac:dyDescent="0.3">
      <c r="A20" s="2" t="s">
        <v>102</v>
      </c>
      <c r="B20" s="11"/>
      <c r="C20" s="11"/>
      <c r="D20" s="2" t="s">
        <v>233</v>
      </c>
      <c r="E20" s="2" t="s">
        <v>234</v>
      </c>
      <c r="F20" s="2" t="s">
        <v>183</v>
      </c>
      <c r="G20" s="2" t="s">
        <v>197</v>
      </c>
      <c r="H20" s="2" t="s">
        <v>197</v>
      </c>
      <c r="I20" s="2" t="s">
        <v>2</v>
      </c>
      <c r="J20" s="2" t="s">
        <v>2</v>
      </c>
      <c r="K20" s="4">
        <v>1</v>
      </c>
      <c r="L20" s="3">
        <v>8</v>
      </c>
      <c r="M20" s="4">
        <v>13.8</v>
      </c>
      <c r="N20" s="4">
        <f t="shared" si="3"/>
        <v>0</v>
      </c>
      <c r="O20" s="4">
        <v>0</v>
      </c>
      <c r="P20" s="4">
        <v>0</v>
      </c>
      <c r="Q20" s="4">
        <v>0</v>
      </c>
      <c r="R20" s="4">
        <v>0</v>
      </c>
      <c r="S20" s="3">
        <f t="shared" si="4"/>
        <v>100</v>
      </c>
      <c r="T20" s="3">
        <v>30</v>
      </c>
      <c r="U20" s="3">
        <v>70</v>
      </c>
      <c r="V20" s="3">
        <v>0</v>
      </c>
      <c r="W20" s="3">
        <v>0</v>
      </c>
      <c r="X20" s="2" t="s">
        <v>235</v>
      </c>
      <c r="Y20" s="2" t="s">
        <v>2</v>
      </c>
      <c r="Z20" s="2" t="s">
        <v>185</v>
      </c>
      <c r="AA20" s="4">
        <v>0</v>
      </c>
      <c r="AB20" s="4">
        <v>0</v>
      </c>
      <c r="AC20" s="4">
        <f t="shared" si="5"/>
        <v>0</v>
      </c>
      <c r="AD20" s="4">
        <v>0</v>
      </c>
      <c r="AE20" s="4">
        <v>0</v>
      </c>
      <c r="AF20" s="4">
        <v>0</v>
      </c>
      <c r="AG20" s="4">
        <v>0</v>
      </c>
      <c r="AH20" s="4">
        <v>0</v>
      </c>
      <c r="AI20" s="2" t="s">
        <v>2</v>
      </c>
    </row>
    <row r="21" spans="1:35" ht="24" customHeight="1" x14ac:dyDescent="0.3">
      <c r="A21" s="2" t="s">
        <v>104</v>
      </c>
      <c r="B21" s="11"/>
      <c r="C21" s="11"/>
      <c r="D21" s="2" t="s">
        <v>236</v>
      </c>
      <c r="E21" s="2" t="s">
        <v>237</v>
      </c>
      <c r="F21" s="2" t="s">
        <v>183</v>
      </c>
      <c r="G21" s="2" t="s">
        <v>197</v>
      </c>
      <c r="H21" s="2" t="s">
        <v>197</v>
      </c>
      <c r="I21" s="2" t="s">
        <v>2</v>
      </c>
      <c r="J21" s="2" t="s">
        <v>2</v>
      </c>
      <c r="K21" s="4">
        <v>1</v>
      </c>
      <c r="L21" s="3">
        <v>8</v>
      </c>
      <c r="M21" s="4">
        <v>3.6</v>
      </c>
      <c r="N21" s="4">
        <f t="shared" si="3"/>
        <v>0</v>
      </c>
      <c r="O21" s="4">
        <v>0</v>
      </c>
      <c r="P21" s="4">
        <v>0</v>
      </c>
      <c r="Q21" s="4">
        <v>0</v>
      </c>
      <c r="R21" s="4">
        <v>0</v>
      </c>
      <c r="S21" s="3">
        <f t="shared" si="4"/>
        <v>80</v>
      </c>
      <c r="T21" s="3">
        <v>24</v>
      </c>
      <c r="U21" s="3">
        <v>56</v>
      </c>
      <c r="V21" s="3">
        <v>0</v>
      </c>
      <c r="W21" s="3">
        <v>0</v>
      </c>
      <c r="X21" s="2" t="s">
        <v>235</v>
      </c>
      <c r="Y21" s="2" t="s">
        <v>2</v>
      </c>
      <c r="Z21" s="2" t="s">
        <v>185</v>
      </c>
      <c r="AA21" s="4">
        <v>0</v>
      </c>
      <c r="AB21" s="4">
        <v>0</v>
      </c>
      <c r="AC21" s="4">
        <f t="shared" si="5"/>
        <v>0</v>
      </c>
      <c r="AD21" s="4">
        <v>0</v>
      </c>
      <c r="AE21" s="4">
        <v>0</v>
      </c>
      <c r="AF21" s="4">
        <v>0</v>
      </c>
      <c r="AG21" s="4">
        <v>0</v>
      </c>
      <c r="AH21" s="4">
        <v>0</v>
      </c>
      <c r="AI21" s="2" t="s">
        <v>2</v>
      </c>
    </row>
    <row r="22" spans="1:35" ht="24" customHeight="1" x14ac:dyDescent="0.3">
      <c r="A22" s="2" t="s">
        <v>105</v>
      </c>
      <c r="B22" s="11"/>
      <c r="C22" s="11"/>
      <c r="D22" s="2" t="s">
        <v>238</v>
      </c>
      <c r="E22" s="2" t="s">
        <v>239</v>
      </c>
      <c r="F22" s="2" t="s">
        <v>183</v>
      </c>
      <c r="G22" s="2" t="s">
        <v>197</v>
      </c>
      <c r="H22" s="2" t="s">
        <v>197</v>
      </c>
      <c r="I22" s="2" t="s">
        <v>2</v>
      </c>
      <c r="J22" s="2" t="s">
        <v>2</v>
      </c>
      <c r="K22" s="4">
        <v>1</v>
      </c>
      <c r="L22" s="3">
        <v>8</v>
      </c>
      <c r="M22" s="4">
        <v>5.6</v>
      </c>
      <c r="N22" s="4">
        <f t="shared" si="3"/>
        <v>0</v>
      </c>
      <c r="O22" s="4">
        <v>0</v>
      </c>
      <c r="P22" s="4">
        <v>0</v>
      </c>
      <c r="Q22" s="4">
        <v>0</v>
      </c>
      <c r="R22" s="4">
        <v>0</v>
      </c>
      <c r="S22" s="3">
        <f t="shared" si="4"/>
        <v>80</v>
      </c>
      <c r="T22" s="3">
        <v>24</v>
      </c>
      <c r="U22" s="3">
        <v>56</v>
      </c>
      <c r="V22" s="3">
        <v>0</v>
      </c>
      <c r="W22" s="3">
        <v>0</v>
      </c>
      <c r="X22" s="2" t="s">
        <v>235</v>
      </c>
      <c r="Y22" s="2" t="s">
        <v>2</v>
      </c>
      <c r="Z22" s="2" t="s">
        <v>185</v>
      </c>
      <c r="AA22" s="4">
        <v>0</v>
      </c>
      <c r="AB22" s="4">
        <v>0</v>
      </c>
      <c r="AC22" s="4">
        <f t="shared" si="5"/>
        <v>0</v>
      </c>
      <c r="AD22" s="4">
        <v>0</v>
      </c>
      <c r="AE22" s="4">
        <v>0</v>
      </c>
      <c r="AF22" s="4">
        <v>0</v>
      </c>
      <c r="AG22" s="4">
        <v>0</v>
      </c>
      <c r="AH22" s="4">
        <v>0</v>
      </c>
      <c r="AI22" s="2" t="s">
        <v>2</v>
      </c>
    </row>
    <row r="23" spans="1:35" ht="24" customHeight="1" x14ac:dyDescent="0.3">
      <c r="A23" s="2" t="s">
        <v>106</v>
      </c>
      <c r="B23" s="11"/>
      <c r="C23" s="11"/>
      <c r="D23" s="2" t="s">
        <v>240</v>
      </c>
      <c r="E23" s="2" t="s">
        <v>241</v>
      </c>
      <c r="F23" s="2" t="s">
        <v>183</v>
      </c>
      <c r="G23" s="2" t="s">
        <v>197</v>
      </c>
      <c r="H23" s="2" t="s">
        <v>197</v>
      </c>
      <c r="I23" s="2" t="s">
        <v>2</v>
      </c>
      <c r="J23" s="2" t="s">
        <v>2</v>
      </c>
      <c r="K23" s="4">
        <v>10</v>
      </c>
      <c r="L23" s="3">
        <v>8</v>
      </c>
      <c r="M23" s="4">
        <v>562.4</v>
      </c>
      <c r="N23" s="4">
        <f t="shared" si="3"/>
        <v>0</v>
      </c>
      <c r="O23" s="4">
        <v>0</v>
      </c>
      <c r="P23" s="4">
        <v>0</v>
      </c>
      <c r="Q23" s="4">
        <v>0</v>
      </c>
      <c r="R23" s="4">
        <v>0</v>
      </c>
      <c r="S23" s="3">
        <f t="shared" si="4"/>
        <v>500</v>
      </c>
      <c r="T23" s="3">
        <v>150</v>
      </c>
      <c r="U23" s="3">
        <v>350</v>
      </c>
      <c r="V23" s="3">
        <v>0</v>
      </c>
      <c r="W23" s="3">
        <v>15</v>
      </c>
      <c r="X23" s="2" t="s">
        <v>242</v>
      </c>
      <c r="Y23" s="2" t="s">
        <v>2</v>
      </c>
      <c r="Z23" s="2" t="s">
        <v>185</v>
      </c>
      <c r="AA23" s="4">
        <v>0</v>
      </c>
      <c r="AB23" s="4">
        <v>0</v>
      </c>
      <c r="AC23" s="4">
        <f t="shared" si="5"/>
        <v>0</v>
      </c>
      <c r="AD23" s="4">
        <v>0</v>
      </c>
      <c r="AE23" s="4">
        <v>0</v>
      </c>
      <c r="AF23" s="4">
        <v>0</v>
      </c>
      <c r="AG23" s="4">
        <v>0</v>
      </c>
      <c r="AH23" s="4">
        <v>0</v>
      </c>
      <c r="AI23" s="2" t="s">
        <v>2</v>
      </c>
    </row>
    <row r="24" spans="1:35" ht="24" customHeight="1" x14ac:dyDescent="0.3">
      <c r="A24" s="2" t="s">
        <v>106</v>
      </c>
      <c r="B24" s="11"/>
      <c r="C24" s="11"/>
      <c r="D24" s="2" t="s">
        <v>243</v>
      </c>
      <c r="E24" s="2" t="s">
        <v>241</v>
      </c>
      <c r="F24" s="2" t="s">
        <v>183</v>
      </c>
      <c r="G24" s="2" t="s">
        <v>197</v>
      </c>
      <c r="H24" s="2" t="s">
        <v>197</v>
      </c>
      <c r="I24" s="2" t="s">
        <v>2</v>
      </c>
      <c r="J24" s="2" t="s">
        <v>2</v>
      </c>
      <c r="K24" s="4">
        <v>2</v>
      </c>
      <c r="L24" s="3">
        <v>8</v>
      </c>
      <c r="M24" s="4">
        <v>0</v>
      </c>
      <c r="N24" s="4">
        <f t="shared" si="3"/>
        <v>0</v>
      </c>
      <c r="O24" s="4">
        <v>0</v>
      </c>
      <c r="P24" s="4">
        <v>0</v>
      </c>
      <c r="Q24" s="4">
        <v>0</v>
      </c>
      <c r="R24" s="4">
        <v>0</v>
      </c>
      <c r="S24" s="3">
        <f t="shared" si="4"/>
        <v>250</v>
      </c>
      <c r="T24" s="3">
        <v>60</v>
      </c>
      <c r="U24" s="3">
        <v>190</v>
      </c>
      <c r="V24" s="3">
        <v>0</v>
      </c>
      <c r="W24" s="3">
        <v>0</v>
      </c>
      <c r="X24" s="2" t="s">
        <v>244</v>
      </c>
      <c r="Y24" s="2" t="s">
        <v>2</v>
      </c>
      <c r="Z24" s="2" t="s">
        <v>185</v>
      </c>
      <c r="AA24" s="4">
        <v>0</v>
      </c>
      <c r="AB24" s="4">
        <v>0</v>
      </c>
      <c r="AC24" s="4">
        <f t="shared" si="5"/>
        <v>0</v>
      </c>
      <c r="AD24" s="4">
        <v>0</v>
      </c>
      <c r="AE24" s="4">
        <v>0</v>
      </c>
      <c r="AF24" s="4">
        <v>0</v>
      </c>
      <c r="AG24" s="4">
        <v>0</v>
      </c>
      <c r="AH24" s="4">
        <v>0</v>
      </c>
      <c r="AI24" s="2" t="s">
        <v>2</v>
      </c>
    </row>
    <row r="25" spans="1:35" ht="24" customHeight="1" x14ac:dyDescent="0.3">
      <c r="A25" s="2" t="s">
        <v>107</v>
      </c>
      <c r="B25" s="11"/>
      <c r="C25" s="11"/>
      <c r="D25" s="2" t="s">
        <v>245</v>
      </c>
      <c r="E25" s="2" t="s">
        <v>84</v>
      </c>
      <c r="F25" s="2" t="s">
        <v>37</v>
      </c>
      <c r="G25" s="2" t="s">
        <v>196</v>
      </c>
      <c r="H25" s="2" t="s">
        <v>2</v>
      </c>
      <c r="I25" s="2" t="s">
        <v>2</v>
      </c>
      <c r="J25" s="2" t="s">
        <v>2</v>
      </c>
      <c r="K25" s="4">
        <v>2</v>
      </c>
      <c r="L25" s="3">
        <v>8</v>
      </c>
      <c r="M25" s="4">
        <v>500.8</v>
      </c>
      <c r="N25" s="4">
        <f t="shared" si="3"/>
        <v>57.2</v>
      </c>
      <c r="O25" s="4">
        <v>0</v>
      </c>
      <c r="P25" s="4">
        <v>0</v>
      </c>
      <c r="Q25" s="4">
        <v>57.2</v>
      </c>
      <c r="R25" s="4">
        <v>0</v>
      </c>
      <c r="S25" s="3">
        <f t="shared" si="4"/>
        <v>185</v>
      </c>
      <c r="T25" s="3">
        <v>0</v>
      </c>
      <c r="U25" s="3">
        <v>185</v>
      </c>
      <c r="V25" s="3">
        <v>0</v>
      </c>
      <c r="W25" s="3">
        <v>25</v>
      </c>
      <c r="X25" s="2" t="s">
        <v>246</v>
      </c>
      <c r="Y25" s="2" t="s">
        <v>2</v>
      </c>
      <c r="Z25" s="2" t="s">
        <v>185</v>
      </c>
      <c r="AA25" s="4">
        <v>0</v>
      </c>
      <c r="AB25" s="4">
        <v>0</v>
      </c>
      <c r="AC25" s="4">
        <f t="shared" si="5"/>
        <v>0</v>
      </c>
      <c r="AD25" s="4">
        <v>0</v>
      </c>
      <c r="AE25" s="4">
        <v>0</v>
      </c>
      <c r="AF25" s="4">
        <v>0</v>
      </c>
      <c r="AG25" s="4">
        <v>0</v>
      </c>
      <c r="AH25" s="4">
        <v>0</v>
      </c>
      <c r="AI25" s="2" t="s">
        <v>2</v>
      </c>
    </row>
    <row r="26" spans="1:35" ht="24" customHeight="1" x14ac:dyDescent="0.3">
      <c r="A26" s="2" t="s">
        <v>108</v>
      </c>
      <c r="B26" s="11"/>
      <c r="C26" s="11"/>
      <c r="D26" s="2" t="s">
        <v>247</v>
      </c>
      <c r="E26" s="2" t="s">
        <v>248</v>
      </c>
      <c r="F26" s="2" t="s">
        <v>183</v>
      </c>
      <c r="G26" s="2" t="s">
        <v>197</v>
      </c>
      <c r="H26" s="2" t="s">
        <v>197</v>
      </c>
      <c r="I26" s="2" t="s">
        <v>2</v>
      </c>
      <c r="J26" s="2" t="s">
        <v>2</v>
      </c>
      <c r="K26" s="4">
        <v>5</v>
      </c>
      <c r="L26" s="3">
        <v>8</v>
      </c>
      <c r="M26" s="4">
        <v>75.8</v>
      </c>
      <c r="N26" s="4">
        <f t="shared" si="3"/>
        <v>0</v>
      </c>
      <c r="O26" s="4">
        <v>0</v>
      </c>
      <c r="P26" s="4">
        <v>0</v>
      </c>
      <c r="Q26" s="4">
        <v>0</v>
      </c>
      <c r="R26" s="4">
        <v>0</v>
      </c>
      <c r="S26" s="3">
        <f t="shared" si="4"/>
        <v>300</v>
      </c>
      <c r="T26" s="3">
        <v>90</v>
      </c>
      <c r="U26" s="3">
        <v>210</v>
      </c>
      <c r="V26" s="3">
        <v>0</v>
      </c>
      <c r="W26" s="3">
        <v>10</v>
      </c>
      <c r="X26" s="2" t="s">
        <v>232</v>
      </c>
      <c r="Y26" s="2" t="s">
        <v>2</v>
      </c>
      <c r="Z26" s="2" t="s">
        <v>185</v>
      </c>
      <c r="AA26" s="4">
        <v>0</v>
      </c>
      <c r="AB26" s="4">
        <v>0</v>
      </c>
      <c r="AC26" s="4">
        <f t="shared" si="5"/>
        <v>0</v>
      </c>
      <c r="AD26" s="4">
        <v>0</v>
      </c>
      <c r="AE26" s="4">
        <v>0</v>
      </c>
      <c r="AF26" s="4">
        <v>0</v>
      </c>
      <c r="AG26" s="4">
        <v>0</v>
      </c>
      <c r="AH26" s="4">
        <v>0</v>
      </c>
      <c r="AI26" s="2" t="s">
        <v>2</v>
      </c>
    </row>
    <row r="27" spans="1:35" ht="24" customHeight="1" x14ac:dyDescent="0.3">
      <c r="A27" s="2" t="s">
        <v>109</v>
      </c>
      <c r="B27" s="11"/>
      <c r="C27" s="11"/>
      <c r="D27" s="2" t="s">
        <v>249</v>
      </c>
      <c r="E27" s="2" t="s">
        <v>250</v>
      </c>
      <c r="F27" s="2" t="s">
        <v>183</v>
      </c>
      <c r="G27" s="2" t="s">
        <v>197</v>
      </c>
      <c r="H27" s="2" t="s">
        <v>197</v>
      </c>
      <c r="I27" s="2" t="s">
        <v>2</v>
      </c>
      <c r="J27" s="2" t="s">
        <v>2</v>
      </c>
      <c r="K27" s="4">
        <v>5</v>
      </c>
      <c r="L27" s="3">
        <v>8</v>
      </c>
      <c r="M27" s="4">
        <v>35.700000000000003</v>
      </c>
      <c r="N27" s="4">
        <f t="shared" si="3"/>
        <v>0</v>
      </c>
      <c r="O27" s="4">
        <v>0</v>
      </c>
      <c r="P27" s="4">
        <v>0</v>
      </c>
      <c r="Q27" s="4">
        <v>0</v>
      </c>
      <c r="R27" s="4">
        <v>0</v>
      </c>
      <c r="S27" s="3">
        <f t="shared" si="4"/>
        <v>320</v>
      </c>
      <c r="T27" s="3">
        <v>96</v>
      </c>
      <c r="U27" s="3">
        <v>224</v>
      </c>
      <c r="V27" s="3">
        <v>0</v>
      </c>
      <c r="W27" s="3">
        <v>9</v>
      </c>
      <c r="X27" s="2" t="s">
        <v>251</v>
      </c>
      <c r="Y27" s="2" t="s">
        <v>2</v>
      </c>
      <c r="Z27" s="2" t="s">
        <v>185</v>
      </c>
      <c r="AA27" s="4">
        <v>0</v>
      </c>
      <c r="AB27" s="4">
        <v>0</v>
      </c>
      <c r="AC27" s="4">
        <f t="shared" si="5"/>
        <v>0</v>
      </c>
      <c r="AD27" s="4">
        <v>0</v>
      </c>
      <c r="AE27" s="4">
        <v>0</v>
      </c>
      <c r="AF27" s="4">
        <v>0</v>
      </c>
      <c r="AG27" s="4">
        <v>0</v>
      </c>
      <c r="AH27" s="4">
        <v>0</v>
      </c>
      <c r="AI27" s="2" t="s">
        <v>2</v>
      </c>
    </row>
    <row r="28" spans="1:35" ht="24" customHeight="1" x14ac:dyDescent="0.3">
      <c r="A28" s="2" t="s">
        <v>110</v>
      </c>
      <c r="B28" s="11"/>
      <c r="C28" s="11"/>
      <c r="D28" s="2" t="s">
        <v>252</v>
      </c>
      <c r="E28" s="2" t="s">
        <v>253</v>
      </c>
      <c r="F28" s="2" t="s">
        <v>183</v>
      </c>
      <c r="G28" s="2" t="s">
        <v>197</v>
      </c>
      <c r="H28" s="2" t="s">
        <v>197</v>
      </c>
      <c r="I28" s="2" t="s">
        <v>2</v>
      </c>
      <c r="J28" s="2" t="s">
        <v>2</v>
      </c>
      <c r="K28" s="4">
        <v>2</v>
      </c>
      <c r="L28" s="3">
        <v>8</v>
      </c>
      <c r="M28" s="4">
        <v>218.5</v>
      </c>
      <c r="N28" s="4">
        <f t="shared" si="3"/>
        <v>0</v>
      </c>
      <c r="O28" s="4">
        <v>0</v>
      </c>
      <c r="P28" s="4">
        <v>0</v>
      </c>
      <c r="Q28" s="4">
        <v>0</v>
      </c>
      <c r="R28" s="4">
        <v>0</v>
      </c>
      <c r="S28" s="3">
        <f t="shared" si="4"/>
        <v>250</v>
      </c>
      <c r="T28" s="3">
        <v>75</v>
      </c>
      <c r="U28" s="3">
        <v>175</v>
      </c>
      <c r="V28" s="3">
        <v>0</v>
      </c>
      <c r="W28" s="3">
        <v>0</v>
      </c>
      <c r="X28" s="2" t="s">
        <v>254</v>
      </c>
      <c r="Y28" s="2" t="s">
        <v>2</v>
      </c>
      <c r="Z28" s="2" t="s">
        <v>185</v>
      </c>
      <c r="AA28" s="4">
        <v>0</v>
      </c>
      <c r="AB28" s="4">
        <v>0</v>
      </c>
      <c r="AC28" s="4">
        <f t="shared" si="5"/>
        <v>0</v>
      </c>
      <c r="AD28" s="4">
        <v>0</v>
      </c>
      <c r="AE28" s="4">
        <v>0</v>
      </c>
      <c r="AF28" s="4">
        <v>0</v>
      </c>
      <c r="AG28" s="4">
        <v>0</v>
      </c>
      <c r="AH28" s="4">
        <v>0</v>
      </c>
      <c r="AI28" s="2" t="s">
        <v>2</v>
      </c>
    </row>
    <row r="29" spans="1:35" ht="24" customHeight="1" x14ac:dyDescent="0.3">
      <c r="A29" s="2" t="s">
        <v>111</v>
      </c>
      <c r="B29" s="11"/>
      <c r="C29" s="11"/>
      <c r="D29" s="2" t="s">
        <v>255</v>
      </c>
      <c r="E29" s="2" t="s">
        <v>256</v>
      </c>
      <c r="F29" s="2" t="s">
        <v>183</v>
      </c>
      <c r="G29" s="2" t="s">
        <v>197</v>
      </c>
      <c r="H29" s="2" t="s">
        <v>197</v>
      </c>
      <c r="I29" s="2" t="s">
        <v>2</v>
      </c>
      <c r="J29" s="2" t="s">
        <v>2</v>
      </c>
      <c r="K29" s="4">
        <v>5</v>
      </c>
      <c r="L29" s="3">
        <v>8</v>
      </c>
      <c r="M29" s="4">
        <v>12.4</v>
      </c>
      <c r="N29" s="4">
        <f t="shared" si="3"/>
        <v>0</v>
      </c>
      <c r="O29" s="4">
        <v>0</v>
      </c>
      <c r="P29" s="4">
        <v>0</v>
      </c>
      <c r="Q29" s="4">
        <v>0</v>
      </c>
      <c r="R29" s="4">
        <v>0</v>
      </c>
      <c r="S29" s="3">
        <f t="shared" si="4"/>
        <v>390</v>
      </c>
      <c r="T29" s="3">
        <v>117</v>
      </c>
      <c r="U29" s="3">
        <v>273</v>
      </c>
      <c r="V29" s="3">
        <v>0</v>
      </c>
      <c r="W29" s="3">
        <v>9</v>
      </c>
      <c r="X29" s="2" t="s">
        <v>232</v>
      </c>
      <c r="Y29" s="2" t="s">
        <v>2</v>
      </c>
      <c r="Z29" s="2" t="s">
        <v>185</v>
      </c>
      <c r="AA29" s="4">
        <v>0</v>
      </c>
      <c r="AB29" s="4">
        <v>0</v>
      </c>
      <c r="AC29" s="4">
        <f t="shared" si="5"/>
        <v>0</v>
      </c>
      <c r="AD29" s="4">
        <v>0</v>
      </c>
      <c r="AE29" s="4">
        <v>0</v>
      </c>
      <c r="AF29" s="4">
        <v>0</v>
      </c>
      <c r="AG29" s="4">
        <v>0</v>
      </c>
      <c r="AH29" s="4">
        <v>0</v>
      </c>
      <c r="AI29" s="2" t="s">
        <v>2</v>
      </c>
    </row>
    <row r="30" spans="1:35" ht="24" customHeight="1" x14ac:dyDescent="0.3">
      <c r="A30" s="2" t="s">
        <v>112</v>
      </c>
      <c r="B30" s="11"/>
      <c r="C30" s="11"/>
      <c r="D30" s="2" t="s">
        <v>257</v>
      </c>
      <c r="E30" s="2" t="s">
        <v>258</v>
      </c>
      <c r="F30" s="2" t="s">
        <v>37</v>
      </c>
      <c r="G30" s="2" t="s">
        <v>196</v>
      </c>
      <c r="H30" s="2" t="s">
        <v>2</v>
      </c>
      <c r="I30" s="2" t="s">
        <v>2</v>
      </c>
      <c r="J30" s="2" t="s">
        <v>2</v>
      </c>
      <c r="K30" s="4">
        <v>2</v>
      </c>
      <c r="L30" s="3">
        <v>8</v>
      </c>
      <c r="M30" s="4">
        <v>260.7</v>
      </c>
      <c r="N30" s="4">
        <f t="shared" si="3"/>
        <v>40</v>
      </c>
      <c r="O30" s="4">
        <v>0</v>
      </c>
      <c r="P30" s="4">
        <v>0</v>
      </c>
      <c r="Q30" s="4">
        <v>40</v>
      </c>
      <c r="R30" s="4">
        <v>0</v>
      </c>
      <c r="S30" s="3">
        <f t="shared" si="4"/>
        <v>188</v>
      </c>
      <c r="T30" s="3">
        <v>0</v>
      </c>
      <c r="U30" s="3">
        <v>188</v>
      </c>
      <c r="V30" s="3">
        <v>0</v>
      </c>
      <c r="W30" s="3">
        <v>2</v>
      </c>
      <c r="X30" s="2" t="s">
        <v>227</v>
      </c>
      <c r="Y30" s="2" t="s">
        <v>2</v>
      </c>
      <c r="Z30" s="2" t="s">
        <v>185</v>
      </c>
      <c r="AA30" s="4">
        <v>0</v>
      </c>
      <c r="AB30" s="4">
        <v>0</v>
      </c>
      <c r="AC30" s="4">
        <f t="shared" si="5"/>
        <v>0</v>
      </c>
      <c r="AD30" s="4">
        <v>0</v>
      </c>
      <c r="AE30" s="4">
        <v>0</v>
      </c>
      <c r="AF30" s="4">
        <v>0</v>
      </c>
      <c r="AG30" s="4">
        <v>0</v>
      </c>
      <c r="AH30" s="4">
        <v>0</v>
      </c>
      <c r="AI30" s="2" t="s">
        <v>2</v>
      </c>
    </row>
    <row r="31" spans="1:35" ht="24" customHeight="1" x14ac:dyDescent="0.3">
      <c r="A31" s="2" t="s">
        <v>113</v>
      </c>
      <c r="B31" s="11"/>
      <c r="C31" s="11"/>
      <c r="D31" s="2" t="s">
        <v>259</v>
      </c>
      <c r="E31" s="2" t="s">
        <v>260</v>
      </c>
      <c r="F31" s="2" t="s">
        <v>183</v>
      </c>
      <c r="G31" s="2" t="s">
        <v>197</v>
      </c>
      <c r="H31" s="2" t="s">
        <v>197</v>
      </c>
      <c r="I31" s="2" t="s">
        <v>2</v>
      </c>
      <c r="J31" s="2" t="s">
        <v>2</v>
      </c>
      <c r="K31" s="4">
        <v>17</v>
      </c>
      <c r="L31" s="3">
        <v>8</v>
      </c>
      <c r="M31" s="4">
        <v>422.5</v>
      </c>
      <c r="N31" s="4">
        <f t="shared" si="3"/>
        <v>0</v>
      </c>
      <c r="O31" s="4">
        <v>0</v>
      </c>
      <c r="P31" s="4">
        <v>0</v>
      </c>
      <c r="Q31" s="4">
        <v>0</v>
      </c>
      <c r="R31" s="4">
        <v>0</v>
      </c>
      <c r="S31" s="3">
        <f t="shared" si="4"/>
        <v>500</v>
      </c>
      <c r="T31" s="3">
        <v>0</v>
      </c>
      <c r="U31" s="3">
        <v>500</v>
      </c>
      <c r="V31" s="3">
        <v>0</v>
      </c>
      <c r="W31" s="3">
        <v>25</v>
      </c>
      <c r="X31" s="2" t="s">
        <v>261</v>
      </c>
      <c r="Y31" s="2" t="s">
        <v>2</v>
      </c>
      <c r="Z31" s="2" t="s">
        <v>185</v>
      </c>
      <c r="AA31" s="4">
        <v>0</v>
      </c>
      <c r="AB31" s="4">
        <v>0</v>
      </c>
      <c r="AC31" s="4">
        <f t="shared" si="5"/>
        <v>0</v>
      </c>
      <c r="AD31" s="4">
        <v>0</v>
      </c>
      <c r="AE31" s="4">
        <v>0</v>
      </c>
      <c r="AF31" s="4">
        <v>0</v>
      </c>
      <c r="AG31" s="4">
        <v>0</v>
      </c>
      <c r="AH31" s="4">
        <v>0</v>
      </c>
      <c r="AI31" s="2" t="s">
        <v>2</v>
      </c>
    </row>
    <row r="32" spans="1:35" ht="24" customHeight="1" x14ac:dyDescent="0.3">
      <c r="A32" s="2" t="s">
        <v>114</v>
      </c>
      <c r="B32" s="11"/>
      <c r="C32" s="11"/>
      <c r="D32" s="2" t="s">
        <v>262</v>
      </c>
      <c r="E32" s="2" t="s">
        <v>263</v>
      </c>
      <c r="F32" s="2" t="s">
        <v>183</v>
      </c>
      <c r="G32" s="2" t="s">
        <v>197</v>
      </c>
      <c r="H32" s="2" t="s">
        <v>197</v>
      </c>
      <c r="I32" s="2" t="s">
        <v>2</v>
      </c>
      <c r="J32" s="2" t="s">
        <v>2</v>
      </c>
      <c r="K32" s="4">
        <v>2</v>
      </c>
      <c r="L32" s="3">
        <v>8</v>
      </c>
      <c r="M32" s="4">
        <v>15.2</v>
      </c>
      <c r="N32" s="4">
        <f t="shared" si="3"/>
        <v>0</v>
      </c>
      <c r="O32" s="4">
        <v>0</v>
      </c>
      <c r="P32" s="4">
        <v>0</v>
      </c>
      <c r="Q32" s="4">
        <v>0</v>
      </c>
      <c r="R32" s="4">
        <v>0</v>
      </c>
      <c r="S32" s="3">
        <f t="shared" si="4"/>
        <v>210</v>
      </c>
      <c r="T32" s="3">
        <v>0</v>
      </c>
      <c r="U32" s="3">
        <v>210</v>
      </c>
      <c r="V32" s="3">
        <v>0</v>
      </c>
      <c r="W32" s="3">
        <v>17</v>
      </c>
      <c r="X32" s="2" t="s">
        <v>264</v>
      </c>
      <c r="Y32" s="2" t="s">
        <v>2</v>
      </c>
      <c r="Z32" s="2" t="s">
        <v>185</v>
      </c>
      <c r="AA32" s="4">
        <v>0</v>
      </c>
      <c r="AB32" s="4">
        <v>0</v>
      </c>
      <c r="AC32" s="4">
        <f t="shared" si="5"/>
        <v>0</v>
      </c>
      <c r="AD32" s="4">
        <v>0</v>
      </c>
      <c r="AE32" s="4">
        <v>0</v>
      </c>
      <c r="AF32" s="4">
        <v>0</v>
      </c>
      <c r="AG32" s="4">
        <v>0</v>
      </c>
      <c r="AH32" s="4">
        <v>0</v>
      </c>
      <c r="AI32" s="2" t="s">
        <v>2</v>
      </c>
    </row>
    <row r="33" spans="1:35" ht="24" customHeight="1" x14ac:dyDescent="0.3">
      <c r="A33" s="2" t="s">
        <v>115</v>
      </c>
      <c r="B33" s="11"/>
      <c r="C33" s="11"/>
      <c r="D33" s="2" t="s">
        <v>265</v>
      </c>
      <c r="E33" s="2" t="s">
        <v>98</v>
      </c>
      <c r="F33" s="2" t="s">
        <v>183</v>
      </c>
      <c r="G33" s="2" t="s">
        <v>197</v>
      </c>
      <c r="H33" s="2" t="s">
        <v>197</v>
      </c>
      <c r="I33" s="2" t="s">
        <v>2</v>
      </c>
      <c r="J33" s="2" t="s">
        <v>2</v>
      </c>
      <c r="K33" s="4">
        <v>2</v>
      </c>
      <c r="L33" s="3">
        <v>8</v>
      </c>
      <c r="M33" s="4">
        <v>13</v>
      </c>
      <c r="N33" s="4">
        <f t="shared" si="3"/>
        <v>0</v>
      </c>
      <c r="O33" s="4">
        <v>0</v>
      </c>
      <c r="P33" s="4">
        <v>0</v>
      </c>
      <c r="Q33" s="4">
        <v>0</v>
      </c>
      <c r="R33" s="4">
        <v>0</v>
      </c>
      <c r="S33" s="3">
        <f t="shared" si="4"/>
        <v>210</v>
      </c>
      <c r="T33" s="3">
        <v>0</v>
      </c>
      <c r="U33" s="3">
        <v>210</v>
      </c>
      <c r="V33" s="3">
        <v>0</v>
      </c>
      <c r="W33" s="3">
        <v>10</v>
      </c>
      <c r="X33" s="2" t="s">
        <v>266</v>
      </c>
      <c r="Y33" s="2" t="s">
        <v>2</v>
      </c>
      <c r="Z33" s="2" t="s">
        <v>185</v>
      </c>
      <c r="AA33" s="4">
        <v>0</v>
      </c>
      <c r="AB33" s="4">
        <v>0</v>
      </c>
      <c r="AC33" s="4">
        <f t="shared" si="5"/>
        <v>0</v>
      </c>
      <c r="AD33" s="4">
        <v>0</v>
      </c>
      <c r="AE33" s="4">
        <v>0</v>
      </c>
      <c r="AF33" s="4">
        <v>0</v>
      </c>
      <c r="AG33" s="4">
        <v>0</v>
      </c>
      <c r="AH33" s="4">
        <v>0</v>
      </c>
      <c r="AI33" s="2" t="s">
        <v>2</v>
      </c>
    </row>
    <row r="34" spans="1:35" ht="24" customHeight="1" x14ac:dyDescent="0.3">
      <c r="A34" s="2" t="s">
        <v>116</v>
      </c>
      <c r="B34" s="11"/>
      <c r="C34" s="11"/>
      <c r="D34" s="2" t="s">
        <v>267</v>
      </c>
      <c r="E34" s="2" t="s">
        <v>268</v>
      </c>
      <c r="F34" s="2" t="s">
        <v>183</v>
      </c>
      <c r="G34" s="2" t="s">
        <v>197</v>
      </c>
      <c r="H34" s="2" t="s">
        <v>197</v>
      </c>
      <c r="I34" s="2" t="s">
        <v>2</v>
      </c>
      <c r="J34" s="2" t="s">
        <v>2</v>
      </c>
      <c r="K34" s="4">
        <v>1</v>
      </c>
      <c r="L34" s="3">
        <v>8</v>
      </c>
      <c r="M34" s="4">
        <v>5.7</v>
      </c>
      <c r="N34" s="4">
        <f t="shared" si="3"/>
        <v>0</v>
      </c>
      <c r="O34" s="4">
        <v>0</v>
      </c>
      <c r="P34" s="4">
        <v>0</v>
      </c>
      <c r="Q34" s="4">
        <v>0</v>
      </c>
      <c r="R34" s="4">
        <v>0</v>
      </c>
      <c r="S34" s="3">
        <f t="shared" si="4"/>
        <v>0</v>
      </c>
      <c r="T34" s="3">
        <v>0</v>
      </c>
      <c r="U34" s="3">
        <v>0</v>
      </c>
      <c r="V34" s="3">
        <v>0</v>
      </c>
      <c r="W34" s="3">
        <v>22</v>
      </c>
      <c r="X34" s="2" t="s">
        <v>269</v>
      </c>
      <c r="Y34" s="2" t="s">
        <v>2</v>
      </c>
      <c r="Z34" s="2" t="s">
        <v>185</v>
      </c>
      <c r="AA34" s="4">
        <v>0</v>
      </c>
      <c r="AB34" s="4">
        <v>0</v>
      </c>
      <c r="AC34" s="4">
        <f t="shared" si="5"/>
        <v>0</v>
      </c>
      <c r="AD34" s="4">
        <v>0</v>
      </c>
      <c r="AE34" s="4">
        <v>0</v>
      </c>
      <c r="AF34" s="4">
        <v>0</v>
      </c>
      <c r="AG34" s="4">
        <v>0</v>
      </c>
      <c r="AH34" s="4">
        <v>0</v>
      </c>
      <c r="AI34" s="2" t="s">
        <v>2</v>
      </c>
    </row>
    <row r="35" spans="1:35" ht="24" customHeight="1" x14ac:dyDescent="0.3">
      <c r="A35" s="2" t="s">
        <v>117</v>
      </c>
      <c r="B35" s="11"/>
      <c r="C35" s="11"/>
      <c r="D35" s="2" t="s">
        <v>270</v>
      </c>
      <c r="E35" s="2" t="s">
        <v>271</v>
      </c>
      <c r="F35" s="2" t="s">
        <v>183</v>
      </c>
      <c r="G35" s="2" t="s">
        <v>197</v>
      </c>
      <c r="H35" s="2" t="s">
        <v>197</v>
      </c>
      <c r="I35" s="2" t="s">
        <v>2</v>
      </c>
      <c r="J35" s="2" t="s">
        <v>2</v>
      </c>
      <c r="K35" s="4">
        <v>5</v>
      </c>
      <c r="L35" s="3">
        <v>8</v>
      </c>
      <c r="M35" s="4">
        <v>40.299999999999997</v>
      </c>
      <c r="N35" s="4">
        <f t="shared" si="3"/>
        <v>0</v>
      </c>
      <c r="O35" s="4">
        <v>0</v>
      </c>
      <c r="P35" s="4">
        <v>0</v>
      </c>
      <c r="Q35" s="4">
        <v>0</v>
      </c>
      <c r="R35" s="4">
        <v>0</v>
      </c>
      <c r="S35" s="3">
        <f t="shared" si="4"/>
        <v>440</v>
      </c>
      <c r="T35" s="3">
        <v>0</v>
      </c>
      <c r="U35" s="3">
        <v>440</v>
      </c>
      <c r="V35" s="3">
        <v>0</v>
      </c>
      <c r="W35" s="3">
        <v>20</v>
      </c>
      <c r="X35" s="2" t="s">
        <v>232</v>
      </c>
      <c r="Y35" s="2" t="s">
        <v>2</v>
      </c>
      <c r="Z35" s="2" t="s">
        <v>185</v>
      </c>
      <c r="AA35" s="4">
        <v>0</v>
      </c>
      <c r="AB35" s="4">
        <v>0</v>
      </c>
      <c r="AC35" s="4">
        <f t="shared" si="5"/>
        <v>0</v>
      </c>
      <c r="AD35" s="4">
        <v>0</v>
      </c>
      <c r="AE35" s="4">
        <v>0</v>
      </c>
      <c r="AF35" s="4">
        <v>0</v>
      </c>
      <c r="AG35" s="4">
        <v>0</v>
      </c>
      <c r="AH35" s="4">
        <v>0</v>
      </c>
      <c r="AI35" s="2" t="s">
        <v>2</v>
      </c>
    </row>
  </sheetData>
  <autoFilter ref="A7:AI7" xr:uid="{00000000-0009-0000-0000-000001000000}"/>
  <mergeCells count="36">
    <mergeCell ref="B8:B35"/>
    <mergeCell ref="C8"/>
    <mergeCell ref="C9:C11"/>
    <mergeCell ref="C12"/>
    <mergeCell ref="C13"/>
    <mergeCell ref="C14:C15"/>
    <mergeCell ref="C16:C35"/>
    <mergeCell ref="AI4:AI7"/>
    <mergeCell ref="AA5:AB5"/>
    <mergeCell ref="AC5:AH5"/>
    <mergeCell ref="AB6:AB7"/>
    <mergeCell ref="AC6:AG6"/>
    <mergeCell ref="G6:G7"/>
    <mergeCell ref="H6:H7"/>
    <mergeCell ref="I6:I7"/>
    <mergeCell ref="J6:J7"/>
    <mergeCell ref="AA6:AA7"/>
    <mergeCell ref="Y4:Y7"/>
    <mergeCell ref="Z4:Z7"/>
    <mergeCell ref="AA4:AH4"/>
    <mergeCell ref="A1:AI1"/>
    <mergeCell ref="A2:AI2"/>
    <mergeCell ref="A4:A7"/>
    <mergeCell ref="B4:B7"/>
    <mergeCell ref="C4:C7"/>
    <mergeCell ref="D4:D7"/>
    <mergeCell ref="E4:E7"/>
    <mergeCell ref="F4:F7"/>
    <mergeCell ref="G4:J5"/>
    <mergeCell ref="K4:K6"/>
    <mergeCell ref="L4:L6"/>
    <mergeCell ref="M4:M6"/>
    <mergeCell ref="N4:R6"/>
    <mergeCell ref="S4:V6"/>
    <mergeCell ref="W4:W7"/>
    <mergeCell ref="X4:X7"/>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3"/>
  <sheetViews>
    <sheetView topLeftCell="A3" workbookViewId="0">
      <selection activeCell="D11" sqref="D11"/>
    </sheetView>
  </sheetViews>
  <sheetFormatPr defaultRowHeight="16.5" x14ac:dyDescent="0.3"/>
  <cols>
    <col min="1" max="1" width="6" customWidth="1"/>
    <col min="2" max="4" width="12.625" customWidth="1"/>
    <col min="5" max="5" width="41.125" customWidth="1"/>
    <col min="6" max="6" width="11" customWidth="1"/>
    <col min="7" max="7" width="10.375" customWidth="1"/>
    <col min="8" max="8" width="20.75" customWidth="1"/>
    <col min="9" max="9" width="19.25" customWidth="1"/>
    <col min="10" max="10" width="12.875" customWidth="1"/>
    <col min="11" max="12" width="14.875" customWidth="1"/>
    <col min="13" max="13" width="11.875" customWidth="1"/>
    <col min="14" max="14" width="14.875" customWidth="1"/>
    <col min="15" max="15" width="13.75" customWidth="1"/>
    <col min="16" max="16" width="13.375" customWidth="1"/>
    <col min="17" max="17" width="15.125" customWidth="1"/>
    <col min="18" max="18" width="9.625" customWidth="1"/>
    <col min="19" max="19" width="13.625" customWidth="1"/>
    <col min="20" max="20" width="14.875" customWidth="1"/>
    <col min="21" max="29" width="11.875" customWidth="1"/>
    <col min="30" max="31" width="13.375" customWidth="1"/>
    <col min="32" max="36" width="10.375" customWidth="1"/>
    <col min="37" max="37" width="14.875" customWidth="1"/>
    <col min="38" max="38" width="10.375" customWidth="1"/>
  </cols>
  <sheetData>
    <row r="1" spans="1:38" ht="18.75" x14ac:dyDescent="0.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row>
    <row r="2" spans="1:38" x14ac:dyDescent="0.3">
      <c r="A2" s="9" t="s">
        <v>311</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row>
    <row r="3" spans="1:38"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t="s">
        <v>2</v>
      </c>
    </row>
    <row r="4" spans="1:38" ht="24" customHeight="1" x14ac:dyDescent="0.3">
      <c r="A4" s="10" t="s">
        <v>3</v>
      </c>
      <c r="B4" s="10" t="s">
        <v>4</v>
      </c>
      <c r="C4" s="10" t="s">
        <v>5</v>
      </c>
      <c r="D4" s="10" t="s">
        <v>6</v>
      </c>
      <c r="E4" s="10" t="s">
        <v>7</v>
      </c>
      <c r="F4" s="10" t="s">
        <v>312</v>
      </c>
      <c r="G4" s="10" t="s">
        <v>164</v>
      </c>
      <c r="H4" s="10"/>
      <c r="I4" s="10"/>
      <c r="J4" s="10"/>
      <c r="K4" s="10" t="s">
        <v>313</v>
      </c>
      <c r="L4" s="10" t="s">
        <v>314</v>
      </c>
      <c r="M4" s="10"/>
      <c r="N4" s="10" t="s">
        <v>315</v>
      </c>
      <c r="O4" s="10"/>
      <c r="P4" s="10" t="s">
        <v>316</v>
      </c>
      <c r="Q4" s="10" t="s">
        <v>317</v>
      </c>
      <c r="R4" s="10" t="s">
        <v>318</v>
      </c>
      <c r="S4" s="10"/>
      <c r="T4" s="10" t="s">
        <v>319</v>
      </c>
      <c r="U4" s="10" t="s">
        <v>165</v>
      </c>
      <c r="V4" s="10"/>
      <c r="W4" s="10"/>
      <c r="X4" s="10"/>
      <c r="Y4" s="10" t="s">
        <v>16</v>
      </c>
      <c r="Z4" s="10" t="s">
        <v>320</v>
      </c>
      <c r="AA4" s="10" t="s">
        <v>321</v>
      </c>
      <c r="AB4" s="10" t="s">
        <v>18</v>
      </c>
      <c r="AC4" s="10" t="s">
        <v>19</v>
      </c>
      <c r="AD4" s="10" t="s">
        <v>322</v>
      </c>
      <c r="AE4" s="10"/>
      <c r="AF4" s="10"/>
      <c r="AG4" s="10"/>
      <c r="AH4" s="10"/>
      <c r="AI4" s="10"/>
      <c r="AJ4" s="10"/>
      <c r="AK4" s="10"/>
      <c r="AL4" s="10" t="s">
        <v>22</v>
      </c>
    </row>
    <row r="5" spans="1:38" ht="24" customHeight="1"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t="s">
        <v>323</v>
      </c>
      <c r="AE5" s="10"/>
      <c r="AF5" s="10" t="s">
        <v>170</v>
      </c>
      <c r="AG5" s="10"/>
      <c r="AH5" s="10"/>
      <c r="AI5" s="10"/>
      <c r="AJ5" s="10"/>
      <c r="AK5" s="10"/>
      <c r="AL5" s="10"/>
    </row>
    <row r="6" spans="1:38" ht="24" customHeight="1" x14ac:dyDescent="0.3">
      <c r="A6" s="10"/>
      <c r="B6" s="10"/>
      <c r="C6" s="10"/>
      <c r="D6" s="10"/>
      <c r="E6" s="10"/>
      <c r="F6" s="10"/>
      <c r="G6" s="10" t="s">
        <v>26</v>
      </c>
      <c r="H6" s="10" t="s">
        <v>27</v>
      </c>
      <c r="I6" s="10" t="s">
        <v>28</v>
      </c>
      <c r="J6" s="10" t="s">
        <v>29</v>
      </c>
      <c r="K6" s="10"/>
      <c r="L6" s="10"/>
      <c r="M6" s="10"/>
      <c r="N6" s="10"/>
      <c r="O6" s="10"/>
      <c r="P6" s="10"/>
      <c r="Q6" s="10"/>
      <c r="R6" s="10"/>
      <c r="S6" s="10"/>
      <c r="T6" s="10"/>
      <c r="U6" s="10"/>
      <c r="V6" s="10"/>
      <c r="W6" s="10"/>
      <c r="X6" s="10"/>
      <c r="Y6" s="10"/>
      <c r="Z6" s="10"/>
      <c r="AA6" s="10"/>
      <c r="AB6" s="10"/>
      <c r="AC6" s="10"/>
      <c r="AD6" s="10" t="s">
        <v>171</v>
      </c>
      <c r="AE6" s="10" t="s">
        <v>172</v>
      </c>
      <c r="AF6" s="10" t="s">
        <v>173</v>
      </c>
      <c r="AG6" s="10"/>
      <c r="AH6" s="10"/>
      <c r="AI6" s="10"/>
      <c r="AJ6" s="10"/>
      <c r="AK6" s="1" t="s">
        <v>174</v>
      </c>
      <c r="AL6" s="10"/>
    </row>
    <row r="7" spans="1:38" ht="36" customHeight="1" x14ac:dyDescent="0.3">
      <c r="A7" s="10"/>
      <c r="B7" s="10"/>
      <c r="C7" s="10"/>
      <c r="D7" s="10"/>
      <c r="E7" s="10"/>
      <c r="F7" s="10"/>
      <c r="G7" s="10"/>
      <c r="H7" s="10"/>
      <c r="I7" s="10"/>
      <c r="J7" s="10"/>
      <c r="K7" s="10"/>
      <c r="L7" s="1" t="s">
        <v>324</v>
      </c>
      <c r="M7" s="1" t="s">
        <v>325</v>
      </c>
      <c r="N7" s="1" t="s">
        <v>324</v>
      </c>
      <c r="O7" s="1" t="s">
        <v>325</v>
      </c>
      <c r="P7" s="1" t="s">
        <v>326</v>
      </c>
      <c r="Q7" s="1" t="s">
        <v>326</v>
      </c>
      <c r="R7" s="1" t="s">
        <v>327</v>
      </c>
      <c r="S7" s="1" t="s">
        <v>32</v>
      </c>
      <c r="T7" s="1" t="s">
        <v>328</v>
      </c>
      <c r="U7" s="1" t="s">
        <v>33</v>
      </c>
      <c r="V7" s="1" t="s">
        <v>38</v>
      </c>
      <c r="W7" s="1" t="s">
        <v>39</v>
      </c>
      <c r="X7" s="1" t="s">
        <v>37</v>
      </c>
      <c r="Y7" s="10"/>
      <c r="Z7" s="10"/>
      <c r="AA7" s="10"/>
      <c r="AB7" s="10"/>
      <c r="AC7" s="10"/>
      <c r="AD7" s="10"/>
      <c r="AE7" s="10"/>
      <c r="AF7" s="1" t="s">
        <v>175</v>
      </c>
      <c r="AG7" s="1" t="s">
        <v>176</v>
      </c>
      <c r="AH7" s="1" t="s">
        <v>177</v>
      </c>
      <c r="AI7" s="1" t="s">
        <v>178</v>
      </c>
      <c r="AJ7" s="1" t="s">
        <v>179</v>
      </c>
      <c r="AK7" s="1" t="s">
        <v>180</v>
      </c>
      <c r="AL7" s="10"/>
    </row>
    <row r="8" spans="1:38" ht="24" customHeight="1" x14ac:dyDescent="0.3">
      <c r="A8" s="2" t="s">
        <v>45</v>
      </c>
      <c r="B8" s="11" t="s">
        <v>55</v>
      </c>
      <c r="C8" s="11" t="s">
        <v>40</v>
      </c>
      <c r="D8" s="2" t="s">
        <v>2</v>
      </c>
      <c r="E8" s="2" t="s">
        <v>2</v>
      </c>
      <c r="F8" s="2" t="s">
        <v>2</v>
      </c>
      <c r="G8" s="2" t="s">
        <v>2</v>
      </c>
      <c r="H8" s="2" t="s">
        <v>2</v>
      </c>
      <c r="I8" s="2" t="s">
        <v>2</v>
      </c>
      <c r="J8" s="2" t="s">
        <v>2</v>
      </c>
      <c r="K8" s="2" t="s">
        <v>2</v>
      </c>
      <c r="L8" s="4">
        <v>15283728</v>
      </c>
      <c r="M8" s="4">
        <v>289347381</v>
      </c>
      <c r="N8" s="4">
        <v>15283728</v>
      </c>
      <c r="O8" s="4">
        <v>289347381</v>
      </c>
      <c r="P8" s="4">
        <v>167454379.30000001</v>
      </c>
      <c r="Q8" s="4">
        <f t="shared" ref="Q8:Q13" si="0">O8-P8</f>
        <v>121893001.69999999</v>
      </c>
      <c r="R8" s="4">
        <v>912965</v>
      </c>
      <c r="S8" s="4">
        <v>675597.3</v>
      </c>
      <c r="T8" s="2" t="s">
        <v>2</v>
      </c>
      <c r="U8" s="3">
        <f t="shared" ref="U8:U13" si="1">SUM(V8:X8)</f>
        <v>502933</v>
      </c>
      <c r="V8" s="3">
        <v>2792</v>
      </c>
      <c r="W8" s="3">
        <v>500141</v>
      </c>
      <c r="X8" s="3">
        <v>0</v>
      </c>
      <c r="Y8" s="3">
        <v>20849</v>
      </c>
      <c r="Z8" s="2" t="s">
        <v>144</v>
      </c>
      <c r="AA8" s="2" t="s">
        <v>2</v>
      </c>
      <c r="AB8" s="2" t="s">
        <v>2</v>
      </c>
      <c r="AC8" s="2" t="s">
        <v>2</v>
      </c>
      <c r="AD8" s="4">
        <v>208300192</v>
      </c>
      <c r="AE8" s="4">
        <v>96011911</v>
      </c>
      <c r="AF8" s="4">
        <f t="shared" ref="AF8:AF13" si="2">SUM(AG8:AJ8)</f>
        <v>0</v>
      </c>
      <c r="AG8" s="4">
        <v>0</v>
      </c>
      <c r="AH8" s="4">
        <v>0</v>
      </c>
      <c r="AI8" s="4">
        <v>0</v>
      </c>
      <c r="AJ8" s="4">
        <v>0</v>
      </c>
      <c r="AK8" s="4">
        <v>0</v>
      </c>
      <c r="AL8" s="2" t="s">
        <v>2</v>
      </c>
    </row>
    <row r="9" spans="1:38" ht="24" customHeight="1" x14ac:dyDescent="0.3">
      <c r="A9" s="2" t="s">
        <v>46</v>
      </c>
      <c r="B9" s="11"/>
      <c r="C9" s="11" t="s">
        <v>60</v>
      </c>
      <c r="D9" s="2" t="s">
        <v>331</v>
      </c>
      <c r="E9" s="2" t="s">
        <v>332</v>
      </c>
      <c r="F9" s="2" t="s">
        <v>2</v>
      </c>
      <c r="G9" s="2" t="s">
        <v>333</v>
      </c>
      <c r="H9" s="2" t="s">
        <v>334</v>
      </c>
      <c r="I9" s="2" t="s">
        <v>335</v>
      </c>
      <c r="J9" s="2" t="s">
        <v>336</v>
      </c>
      <c r="K9" s="2" t="s">
        <v>329</v>
      </c>
      <c r="L9" s="4">
        <v>15277337</v>
      </c>
      <c r="M9" s="4">
        <v>289329000</v>
      </c>
      <c r="N9" s="4">
        <v>15277337</v>
      </c>
      <c r="O9" s="4">
        <v>289329000</v>
      </c>
      <c r="P9" s="4">
        <v>167449373</v>
      </c>
      <c r="Q9" s="4">
        <f t="shared" si="0"/>
        <v>121879627</v>
      </c>
      <c r="R9" s="4">
        <v>912662</v>
      </c>
      <c r="S9" s="4">
        <v>675370</v>
      </c>
      <c r="T9" s="2" t="s">
        <v>337</v>
      </c>
      <c r="U9" s="3">
        <f t="shared" si="1"/>
        <v>494980</v>
      </c>
      <c r="V9" s="3">
        <v>406</v>
      </c>
      <c r="W9" s="3">
        <v>494574</v>
      </c>
      <c r="X9" s="3">
        <v>0</v>
      </c>
      <c r="Y9" s="3">
        <v>20799</v>
      </c>
      <c r="Z9" s="2" t="s">
        <v>140</v>
      </c>
      <c r="AA9" s="2" t="s">
        <v>2</v>
      </c>
      <c r="AB9" s="2" t="s">
        <v>338</v>
      </c>
      <c r="AC9" s="2" t="s">
        <v>2</v>
      </c>
      <c r="AD9" s="4">
        <v>208300192</v>
      </c>
      <c r="AE9" s="4">
        <v>96011911</v>
      </c>
      <c r="AF9" s="4">
        <f t="shared" si="2"/>
        <v>0</v>
      </c>
      <c r="AG9" s="4">
        <v>0</v>
      </c>
      <c r="AH9" s="4">
        <v>0</v>
      </c>
      <c r="AI9" s="4">
        <v>0</v>
      </c>
      <c r="AJ9" s="4">
        <v>0</v>
      </c>
      <c r="AK9" s="4">
        <v>0</v>
      </c>
      <c r="AL9" s="2" t="s">
        <v>2</v>
      </c>
    </row>
    <row r="10" spans="1:38" ht="24" customHeight="1" x14ac:dyDescent="0.3">
      <c r="A10" s="2" t="s">
        <v>49</v>
      </c>
      <c r="B10" s="11"/>
      <c r="C10" s="11" t="s">
        <v>68</v>
      </c>
      <c r="D10" s="2" t="s">
        <v>339</v>
      </c>
      <c r="E10" s="2" t="s">
        <v>340</v>
      </c>
      <c r="F10" s="2" t="s">
        <v>341</v>
      </c>
      <c r="G10" s="2" t="s">
        <v>342</v>
      </c>
      <c r="H10" s="2" t="s">
        <v>343</v>
      </c>
      <c r="I10" s="2" t="s">
        <v>343</v>
      </c>
      <c r="J10" s="2" t="s">
        <v>343</v>
      </c>
      <c r="K10" s="2" t="s">
        <v>329</v>
      </c>
      <c r="L10" s="4">
        <v>1200</v>
      </c>
      <c r="M10" s="4">
        <v>4000</v>
      </c>
      <c r="N10" s="4">
        <v>1200</v>
      </c>
      <c r="O10" s="4">
        <v>4000</v>
      </c>
      <c r="P10" s="4">
        <v>534</v>
      </c>
      <c r="Q10" s="4">
        <f t="shared" si="0"/>
        <v>3466</v>
      </c>
      <c r="R10" s="4">
        <v>67.900000000000006</v>
      </c>
      <c r="S10" s="4">
        <v>50.9</v>
      </c>
      <c r="T10" s="2" t="s">
        <v>344</v>
      </c>
      <c r="U10" s="3">
        <f t="shared" si="1"/>
        <v>2000</v>
      </c>
      <c r="V10" s="3">
        <v>600</v>
      </c>
      <c r="W10" s="3">
        <v>1400</v>
      </c>
      <c r="X10" s="3">
        <v>0</v>
      </c>
      <c r="Y10" s="3">
        <v>10</v>
      </c>
      <c r="Z10" s="2" t="s">
        <v>46</v>
      </c>
      <c r="AA10" s="2" t="s">
        <v>2</v>
      </c>
      <c r="AB10" s="2" t="s">
        <v>345</v>
      </c>
      <c r="AC10" s="2" t="s">
        <v>2</v>
      </c>
      <c r="AD10" s="4">
        <v>0</v>
      </c>
      <c r="AE10" s="4">
        <v>0</v>
      </c>
      <c r="AF10" s="4">
        <f t="shared" si="2"/>
        <v>0</v>
      </c>
      <c r="AG10" s="4">
        <v>0</v>
      </c>
      <c r="AH10" s="4">
        <v>0</v>
      </c>
      <c r="AI10" s="4">
        <v>0</v>
      </c>
      <c r="AJ10" s="4">
        <v>0</v>
      </c>
      <c r="AK10" s="4">
        <v>0</v>
      </c>
      <c r="AL10" s="2" t="s">
        <v>2</v>
      </c>
    </row>
    <row r="11" spans="1:38" ht="24" customHeight="1" x14ac:dyDescent="0.3">
      <c r="A11" s="2" t="s">
        <v>50</v>
      </c>
      <c r="B11" s="11"/>
      <c r="C11" s="11"/>
      <c r="D11" s="2" t="s">
        <v>346</v>
      </c>
      <c r="E11" s="2" t="s">
        <v>347</v>
      </c>
      <c r="F11" s="2" t="s">
        <v>341</v>
      </c>
      <c r="G11" s="2" t="s">
        <v>342</v>
      </c>
      <c r="H11" s="2" t="s">
        <v>343</v>
      </c>
      <c r="I11" s="2" t="s">
        <v>343</v>
      </c>
      <c r="J11" s="2" t="s">
        <v>343</v>
      </c>
      <c r="K11" s="2" t="s">
        <v>329</v>
      </c>
      <c r="L11" s="4">
        <v>1500</v>
      </c>
      <c r="M11" s="4">
        <v>5300</v>
      </c>
      <c r="N11" s="4">
        <v>1500</v>
      </c>
      <c r="O11" s="4">
        <v>5300</v>
      </c>
      <c r="P11" s="4">
        <v>2271.1</v>
      </c>
      <c r="Q11" s="4">
        <f t="shared" si="0"/>
        <v>3028.9</v>
      </c>
      <c r="R11" s="4">
        <v>17.3</v>
      </c>
      <c r="S11" s="4">
        <v>13</v>
      </c>
      <c r="T11" s="2" t="s">
        <v>348</v>
      </c>
      <c r="U11" s="3">
        <f t="shared" si="1"/>
        <v>953</v>
      </c>
      <c r="V11" s="3">
        <v>286</v>
      </c>
      <c r="W11" s="3">
        <v>667</v>
      </c>
      <c r="X11" s="3">
        <v>0</v>
      </c>
      <c r="Y11" s="3">
        <v>10</v>
      </c>
      <c r="Z11" s="2" t="s">
        <v>46</v>
      </c>
      <c r="AA11" s="2" t="s">
        <v>2</v>
      </c>
      <c r="AB11" s="2" t="s">
        <v>349</v>
      </c>
      <c r="AC11" s="2" t="s">
        <v>2</v>
      </c>
      <c r="AD11" s="4">
        <v>0</v>
      </c>
      <c r="AE11" s="4">
        <v>0</v>
      </c>
      <c r="AF11" s="4">
        <f t="shared" si="2"/>
        <v>0</v>
      </c>
      <c r="AG11" s="4">
        <v>0</v>
      </c>
      <c r="AH11" s="4">
        <v>0</v>
      </c>
      <c r="AI11" s="4">
        <v>0</v>
      </c>
      <c r="AJ11" s="4">
        <v>0</v>
      </c>
      <c r="AK11" s="4">
        <v>0</v>
      </c>
      <c r="AL11" s="2" t="s">
        <v>2</v>
      </c>
    </row>
    <row r="12" spans="1:38" ht="24" customHeight="1" x14ac:dyDescent="0.3">
      <c r="A12" s="2" t="s">
        <v>51</v>
      </c>
      <c r="B12" s="11"/>
      <c r="C12" s="11"/>
      <c r="D12" s="2" t="s">
        <v>350</v>
      </c>
      <c r="E12" s="2" t="s">
        <v>351</v>
      </c>
      <c r="F12" s="2" t="s">
        <v>341</v>
      </c>
      <c r="G12" s="2" t="s">
        <v>342</v>
      </c>
      <c r="H12" s="2" t="s">
        <v>343</v>
      </c>
      <c r="I12" s="2" t="s">
        <v>343</v>
      </c>
      <c r="J12" s="2" t="s">
        <v>343</v>
      </c>
      <c r="K12" s="2" t="s">
        <v>329</v>
      </c>
      <c r="L12" s="4">
        <v>2866</v>
      </c>
      <c r="M12" s="4">
        <v>8213</v>
      </c>
      <c r="N12" s="4">
        <v>2866</v>
      </c>
      <c r="O12" s="4">
        <v>8213</v>
      </c>
      <c r="P12" s="4">
        <v>1857.9</v>
      </c>
      <c r="Q12" s="4">
        <f t="shared" si="0"/>
        <v>6355.1</v>
      </c>
      <c r="R12" s="4">
        <v>217.8</v>
      </c>
      <c r="S12" s="4">
        <v>163.4</v>
      </c>
      <c r="T12" s="2" t="s">
        <v>352</v>
      </c>
      <c r="U12" s="3">
        <f t="shared" si="1"/>
        <v>3000</v>
      </c>
      <c r="V12" s="3">
        <v>900</v>
      </c>
      <c r="W12" s="3">
        <v>2100</v>
      </c>
      <c r="X12" s="3">
        <v>0</v>
      </c>
      <c r="Y12" s="3">
        <v>20</v>
      </c>
      <c r="Z12" s="2" t="s">
        <v>46</v>
      </c>
      <c r="AA12" s="2" t="s">
        <v>2</v>
      </c>
      <c r="AB12" s="2" t="s">
        <v>353</v>
      </c>
      <c r="AC12" s="2" t="s">
        <v>2</v>
      </c>
      <c r="AD12" s="4">
        <v>0</v>
      </c>
      <c r="AE12" s="4">
        <v>0</v>
      </c>
      <c r="AF12" s="4">
        <f t="shared" si="2"/>
        <v>0</v>
      </c>
      <c r="AG12" s="4">
        <v>0</v>
      </c>
      <c r="AH12" s="4">
        <v>0</v>
      </c>
      <c r="AI12" s="4">
        <v>0</v>
      </c>
      <c r="AJ12" s="4">
        <v>0</v>
      </c>
      <c r="AK12" s="4">
        <v>0</v>
      </c>
      <c r="AL12" s="2" t="s">
        <v>2</v>
      </c>
    </row>
    <row r="13" spans="1:38" ht="24" customHeight="1" x14ac:dyDescent="0.3">
      <c r="A13" s="2" t="s">
        <v>52</v>
      </c>
      <c r="B13" s="11"/>
      <c r="C13" s="11"/>
      <c r="D13" s="2" t="s">
        <v>354</v>
      </c>
      <c r="E13" s="2" t="s">
        <v>355</v>
      </c>
      <c r="F13" s="2" t="s">
        <v>341</v>
      </c>
      <c r="G13" s="2" t="s">
        <v>356</v>
      </c>
      <c r="H13" s="2" t="s">
        <v>343</v>
      </c>
      <c r="I13" s="2" t="s">
        <v>343</v>
      </c>
      <c r="J13" s="2" t="s">
        <v>343</v>
      </c>
      <c r="K13" s="2" t="s">
        <v>329</v>
      </c>
      <c r="L13" s="4">
        <v>825</v>
      </c>
      <c r="M13" s="4">
        <v>868</v>
      </c>
      <c r="N13" s="4">
        <v>825</v>
      </c>
      <c r="O13" s="4">
        <v>868</v>
      </c>
      <c r="P13" s="4">
        <v>343.3</v>
      </c>
      <c r="Q13" s="4">
        <f t="shared" si="0"/>
        <v>524.70000000000005</v>
      </c>
      <c r="R13" s="4">
        <v>0</v>
      </c>
      <c r="S13" s="4">
        <v>0</v>
      </c>
      <c r="T13" s="2" t="s">
        <v>357</v>
      </c>
      <c r="U13" s="3">
        <f t="shared" si="1"/>
        <v>2000</v>
      </c>
      <c r="V13" s="3">
        <v>600</v>
      </c>
      <c r="W13" s="3">
        <v>1400</v>
      </c>
      <c r="X13" s="3">
        <v>0</v>
      </c>
      <c r="Y13" s="3">
        <v>10</v>
      </c>
      <c r="Z13" s="2" t="s">
        <v>46</v>
      </c>
      <c r="AA13" s="2" t="s">
        <v>2</v>
      </c>
      <c r="AB13" s="2" t="s">
        <v>91</v>
      </c>
      <c r="AC13" s="2" t="s">
        <v>2</v>
      </c>
      <c r="AD13" s="4">
        <v>0</v>
      </c>
      <c r="AE13" s="4">
        <v>0</v>
      </c>
      <c r="AF13" s="4">
        <f t="shared" si="2"/>
        <v>0</v>
      </c>
      <c r="AG13" s="4">
        <v>0</v>
      </c>
      <c r="AH13" s="4">
        <v>0</v>
      </c>
      <c r="AI13" s="4">
        <v>0</v>
      </c>
      <c r="AJ13" s="4">
        <v>0</v>
      </c>
      <c r="AK13" s="4">
        <v>0</v>
      </c>
      <c r="AL13" s="2" t="s">
        <v>2</v>
      </c>
    </row>
  </sheetData>
  <autoFilter ref="A7:AL7" xr:uid="{00000000-0009-0000-0000-000002000000}"/>
  <mergeCells count="37">
    <mergeCell ref="B8:B13"/>
    <mergeCell ref="C8"/>
    <mergeCell ref="C9"/>
    <mergeCell ref="C10:C13"/>
    <mergeCell ref="AL4:AL7"/>
    <mergeCell ref="AD5:AE5"/>
    <mergeCell ref="AF5:AK5"/>
    <mergeCell ref="AE6:AE7"/>
    <mergeCell ref="AF6:AJ6"/>
    <mergeCell ref="G6:G7"/>
    <mergeCell ref="H6:H7"/>
    <mergeCell ref="I6:I7"/>
    <mergeCell ref="J6:J7"/>
    <mergeCell ref="AD6:AD7"/>
    <mergeCell ref="AC4:AC7"/>
    <mergeCell ref="AD4:AK4"/>
    <mergeCell ref="U4:X6"/>
    <mergeCell ref="Y4:Y7"/>
    <mergeCell ref="Z4:Z7"/>
    <mergeCell ref="AA4:AA7"/>
    <mergeCell ref="AB4:AB7"/>
    <mergeCell ref="A1:AL1"/>
    <mergeCell ref="A2:AL2"/>
    <mergeCell ref="A4:A7"/>
    <mergeCell ref="B4:B7"/>
    <mergeCell ref="C4:C7"/>
    <mergeCell ref="D4:D7"/>
    <mergeCell ref="E4:E7"/>
    <mergeCell ref="F4:F7"/>
    <mergeCell ref="G4:J5"/>
    <mergeCell ref="K4:K7"/>
    <mergeCell ref="L4:M6"/>
    <mergeCell ref="N4:O6"/>
    <mergeCell ref="P4:P6"/>
    <mergeCell ref="Q4:Q6"/>
    <mergeCell ref="R4:S6"/>
    <mergeCell ref="T4:T6"/>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5"/>
  <sheetViews>
    <sheetView workbookViewId="0">
      <pane xSplit="5" ySplit="6" topLeftCell="I7" activePane="bottomRight" state="frozen"/>
      <selection pane="topRight"/>
      <selection pane="bottomLeft"/>
      <selection pane="bottomRight" activeCell="K7" sqref="K7"/>
    </sheetView>
  </sheetViews>
  <sheetFormatPr defaultRowHeight="16.5" x14ac:dyDescent="0.3"/>
  <cols>
    <col min="1" max="1" width="6" customWidth="1"/>
    <col min="2" max="3" width="12.625" customWidth="1"/>
    <col min="4" max="4" width="17.875" customWidth="1"/>
    <col min="5" max="5" width="14.875" customWidth="1"/>
    <col min="6" max="6" width="22.25" customWidth="1"/>
    <col min="7" max="7" width="10.375" customWidth="1"/>
    <col min="8" max="8" width="20.75" customWidth="1"/>
    <col min="9" max="9" width="17.875" customWidth="1"/>
    <col min="10" max="10" width="13.5" customWidth="1"/>
    <col min="11" max="14" width="10.375" customWidth="1"/>
    <col min="15" max="15" width="16.375" customWidth="1"/>
    <col min="16" max="20" width="10.375" customWidth="1"/>
    <col min="21" max="21" width="17.875" customWidth="1"/>
    <col min="22" max="22" width="14.875" customWidth="1"/>
    <col min="23" max="23" width="14" customWidth="1"/>
    <col min="24" max="24" width="12.75" customWidth="1"/>
    <col min="25" max="25" width="12.625" customWidth="1"/>
    <col min="26" max="32" width="10.375" customWidth="1"/>
  </cols>
  <sheetData>
    <row r="1" spans="1:32" ht="18.75" x14ac:dyDescent="0.3">
      <c r="A1" s="8" t="s">
        <v>380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spans="1:32" x14ac:dyDescent="0.3">
      <c r="A2" s="9" t="s">
        <v>381</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row>
    <row r="3" spans="1:32"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t="s">
        <v>2</v>
      </c>
    </row>
    <row r="4" spans="1:32" ht="36" customHeight="1" x14ac:dyDescent="0.3">
      <c r="A4" s="10" t="s">
        <v>3</v>
      </c>
      <c r="B4" s="10" t="s">
        <v>4</v>
      </c>
      <c r="C4" s="10" t="s">
        <v>5</v>
      </c>
      <c r="D4" s="10" t="s">
        <v>382</v>
      </c>
      <c r="E4" s="10" t="s">
        <v>383</v>
      </c>
      <c r="F4" s="10" t="s">
        <v>7</v>
      </c>
      <c r="G4" s="10" t="s">
        <v>8</v>
      </c>
      <c r="H4" s="10"/>
      <c r="I4" s="10"/>
      <c r="J4" s="10"/>
      <c r="K4" s="10" t="s">
        <v>9</v>
      </c>
      <c r="L4" s="10" t="s">
        <v>10</v>
      </c>
      <c r="M4" s="10" t="s">
        <v>11</v>
      </c>
      <c r="N4" s="10" t="s">
        <v>12</v>
      </c>
      <c r="O4" s="10" t="s">
        <v>13</v>
      </c>
      <c r="P4" s="10" t="s">
        <v>14</v>
      </c>
      <c r="Q4" s="10"/>
      <c r="R4" s="10"/>
      <c r="S4" s="10"/>
      <c r="T4" s="10"/>
      <c r="U4" s="10" t="s">
        <v>384</v>
      </c>
      <c r="V4" s="10" t="s">
        <v>18</v>
      </c>
      <c r="W4" s="10" t="s">
        <v>19</v>
      </c>
      <c r="X4" s="10" t="s">
        <v>20</v>
      </c>
      <c r="Y4" s="10" t="s">
        <v>21</v>
      </c>
      <c r="Z4" s="10"/>
      <c r="AA4" s="10"/>
      <c r="AB4" s="10"/>
      <c r="AC4" s="10"/>
      <c r="AD4" s="10"/>
      <c r="AE4" s="10"/>
      <c r="AF4" s="10" t="s">
        <v>22</v>
      </c>
    </row>
    <row r="5" spans="1:32" ht="36" customHeight="1" x14ac:dyDescent="0.3">
      <c r="A5" s="10"/>
      <c r="B5" s="10"/>
      <c r="C5" s="10"/>
      <c r="D5" s="10"/>
      <c r="E5" s="10"/>
      <c r="F5" s="10"/>
      <c r="G5" s="10"/>
      <c r="H5" s="10"/>
      <c r="I5" s="10"/>
      <c r="J5" s="10"/>
      <c r="K5" s="10"/>
      <c r="L5" s="10"/>
      <c r="M5" s="10"/>
      <c r="N5" s="10"/>
      <c r="O5" s="10"/>
      <c r="P5" s="10"/>
      <c r="Q5" s="10"/>
      <c r="R5" s="10"/>
      <c r="S5" s="10"/>
      <c r="T5" s="10"/>
      <c r="U5" s="10"/>
      <c r="V5" s="10"/>
      <c r="W5" s="10"/>
      <c r="X5" s="10"/>
      <c r="Y5" s="10" t="s">
        <v>385</v>
      </c>
      <c r="Z5" s="10" t="s">
        <v>24</v>
      </c>
      <c r="AA5" s="10"/>
      <c r="AB5" s="10"/>
      <c r="AC5" s="10" t="s">
        <v>25</v>
      </c>
      <c r="AD5" s="10"/>
      <c r="AE5" s="10"/>
      <c r="AF5" s="10"/>
    </row>
    <row r="6" spans="1:32" ht="36" customHeight="1" x14ac:dyDescent="0.3">
      <c r="A6" s="10" t="s">
        <v>2</v>
      </c>
      <c r="B6" s="10"/>
      <c r="C6" s="10"/>
      <c r="D6" s="10"/>
      <c r="E6" s="10"/>
      <c r="F6" s="10"/>
      <c r="G6" s="1" t="s">
        <v>26</v>
      </c>
      <c r="H6" s="1" t="s">
        <v>27</v>
      </c>
      <c r="I6" s="1" t="s">
        <v>28</v>
      </c>
      <c r="J6" s="1" t="s">
        <v>29</v>
      </c>
      <c r="K6" s="1" t="s">
        <v>30</v>
      </c>
      <c r="L6" s="1" t="s">
        <v>31</v>
      </c>
      <c r="M6" s="10"/>
      <c r="N6" s="10"/>
      <c r="O6" s="1" t="s">
        <v>32</v>
      </c>
      <c r="P6" s="1" t="s">
        <v>33</v>
      </c>
      <c r="Q6" s="1" t="s">
        <v>34</v>
      </c>
      <c r="R6" s="1" t="s">
        <v>35</v>
      </c>
      <c r="S6" s="1" t="s">
        <v>36</v>
      </c>
      <c r="T6" s="1" t="s">
        <v>37</v>
      </c>
      <c r="U6" s="10"/>
      <c r="V6" s="10"/>
      <c r="W6" s="10"/>
      <c r="X6" s="10"/>
      <c r="Y6" s="10"/>
      <c r="Z6" s="1" t="s">
        <v>40</v>
      </c>
      <c r="AA6" s="1" t="s">
        <v>41</v>
      </c>
      <c r="AB6" s="1" t="s">
        <v>42</v>
      </c>
      <c r="AC6" s="1" t="s">
        <v>40</v>
      </c>
      <c r="AD6" s="1" t="s">
        <v>43</v>
      </c>
      <c r="AE6" s="1" t="s">
        <v>44</v>
      </c>
      <c r="AF6" s="10"/>
    </row>
    <row r="7" spans="1:32" ht="24" customHeight="1" x14ac:dyDescent="0.3">
      <c r="A7" s="2" t="s">
        <v>308</v>
      </c>
      <c r="B7" s="11" t="s">
        <v>55</v>
      </c>
      <c r="C7" s="11" t="s">
        <v>40</v>
      </c>
      <c r="D7" s="2" t="s">
        <v>2</v>
      </c>
      <c r="E7" s="2" t="s">
        <v>2</v>
      </c>
      <c r="F7" s="2" t="s">
        <v>2</v>
      </c>
      <c r="G7" s="2" t="s">
        <v>2</v>
      </c>
      <c r="H7" s="2" t="s">
        <v>2</v>
      </c>
      <c r="I7" s="2" t="s">
        <v>2</v>
      </c>
      <c r="J7" s="2" t="s">
        <v>2</v>
      </c>
      <c r="K7" s="4">
        <v>107.4</v>
      </c>
      <c r="L7" s="3">
        <v>14</v>
      </c>
      <c r="M7" s="2" t="s">
        <v>2</v>
      </c>
      <c r="N7" s="2" t="s">
        <v>2</v>
      </c>
      <c r="O7" s="4">
        <v>691.6</v>
      </c>
      <c r="P7" s="4">
        <f t="shared" ref="P7:P15" si="0">SUM(Q7:T7)</f>
        <v>0.4</v>
      </c>
      <c r="Q7" s="4">
        <v>0.4</v>
      </c>
      <c r="R7" s="4">
        <v>0</v>
      </c>
      <c r="S7" s="4">
        <v>0</v>
      </c>
      <c r="T7" s="4">
        <v>0</v>
      </c>
      <c r="U7" s="2" t="s">
        <v>2</v>
      </c>
      <c r="V7" s="2" t="s">
        <v>2</v>
      </c>
      <c r="W7" s="2" t="s">
        <v>2</v>
      </c>
      <c r="X7" s="4">
        <v>0</v>
      </c>
      <c r="Y7" s="4">
        <f t="shared" ref="Y7:Y15" si="1">SUM(AA7,AB7,AD7,AE7)</f>
        <v>0</v>
      </c>
      <c r="Z7" s="4">
        <f t="shared" ref="Z7:Z15" si="2">SUM(AA7:AB7)</f>
        <v>0</v>
      </c>
      <c r="AA7" s="4">
        <v>0</v>
      </c>
      <c r="AB7" s="4">
        <v>0</v>
      </c>
      <c r="AC7" s="4">
        <f t="shared" ref="AC7:AC15" si="3">SUM(AD7:AE7)</f>
        <v>0</v>
      </c>
      <c r="AD7" s="4">
        <v>0</v>
      </c>
      <c r="AE7" s="4">
        <v>0</v>
      </c>
      <c r="AF7" s="2" t="s">
        <v>2</v>
      </c>
    </row>
    <row r="8" spans="1:32" ht="24" customHeight="1" x14ac:dyDescent="0.3">
      <c r="A8" s="2" t="s">
        <v>46</v>
      </c>
      <c r="B8" s="11"/>
      <c r="C8" s="11" t="s">
        <v>211</v>
      </c>
      <c r="D8" s="2" t="s">
        <v>386</v>
      </c>
      <c r="E8" s="2" t="s">
        <v>387</v>
      </c>
      <c r="F8" s="2" t="s">
        <v>388</v>
      </c>
      <c r="G8" s="2" t="s">
        <v>2</v>
      </c>
      <c r="H8" s="2" t="s">
        <v>389</v>
      </c>
      <c r="I8" s="2" t="s">
        <v>390</v>
      </c>
      <c r="J8" s="2" t="s">
        <v>2</v>
      </c>
      <c r="K8" s="4">
        <v>2</v>
      </c>
      <c r="L8" s="3">
        <v>20</v>
      </c>
      <c r="M8" s="2" t="s">
        <v>47</v>
      </c>
      <c r="N8" s="2" t="s">
        <v>72</v>
      </c>
      <c r="O8" s="4">
        <v>604.79999999999995</v>
      </c>
      <c r="P8" s="4">
        <f t="shared" si="0"/>
        <v>0</v>
      </c>
      <c r="Q8" s="4">
        <v>0</v>
      </c>
      <c r="R8" s="4">
        <v>0</v>
      </c>
      <c r="S8" s="4">
        <v>0</v>
      </c>
      <c r="T8" s="4">
        <v>0</v>
      </c>
      <c r="U8" s="2" t="s">
        <v>391</v>
      </c>
      <c r="V8" s="2" t="s">
        <v>392</v>
      </c>
      <c r="W8" s="2" t="s">
        <v>2</v>
      </c>
      <c r="X8" s="4">
        <v>0</v>
      </c>
      <c r="Y8" s="4">
        <f t="shared" si="1"/>
        <v>0</v>
      </c>
      <c r="Z8" s="4">
        <f t="shared" si="2"/>
        <v>0</v>
      </c>
      <c r="AA8" s="4">
        <v>0</v>
      </c>
      <c r="AB8" s="4">
        <v>0</v>
      </c>
      <c r="AC8" s="4">
        <f t="shared" si="3"/>
        <v>0</v>
      </c>
      <c r="AD8" s="4">
        <v>0</v>
      </c>
      <c r="AE8" s="4">
        <v>0</v>
      </c>
      <c r="AF8" s="2" t="s">
        <v>2</v>
      </c>
    </row>
    <row r="9" spans="1:32" ht="24" customHeight="1" x14ac:dyDescent="0.3">
      <c r="A9" s="2" t="s">
        <v>49</v>
      </c>
      <c r="B9" s="11"/>
      <c r="C9" s="11"/>
      <c r="D9" s="2" t="s">
        <v>393</v>
      </c>
      <c r="E9" s="2" t="s">
        <v>394</v>
      </c>
      <c r="F9" s="2" t="s">
        <v>395</v>
      </c>
      <c r="G9" s="2" t="s">
        <v>2</v>
      </c>
      <c r="H9" s="2" t="s">
        <v>389</v>
      </c>
      <c r="I9" s="2" t="s">
        <v>390</v>
      </c>
      <c r="J9" s="2" t="s">
        <v>2</v>
      </c>
      <c r="K9" s="4">
        <v>3.3</v>
      </c>
      <c r="L9" s="3">
        <v>8</v>
      </c>
      <c r="M9" s="2" t="s">
        <v>47</v>
      </c>
      <c r="N9" s="2" t="s">
        <v>72</v>
      </c>
      <c r="O9" s="4">
        <v>0</v>
      </c>
      <c r="P9" s="4">
        <f t="shared" si="0"/>
        <v>0</v>
      </c>
      <c r="Q9" s="4">
        <v>0</v>
      </c>
      <c r="R9" s="4">
        <v>0</v>
      </c>
      <c r="S9" s="4">
        <v>0</v>
      </c>
      <c r="T9" s="4">
        <v>0</v>
      </c>
      <c r="U9" s="2" t="s">
        <v>396</v>
      </c>
      <c r="V9" s="2" t="s">
        <v>397</v>
      </c>
      <c r="W9" s="2" t="s">
        <v>2</v>
      </c>
      <c r="X9" s="4">
        <v>0</v>
      </c>
      <c r="Y9" s="4">
        <f t="shared" si="1"/>
        <v>0</v>
      </c>
      <c r="Z9" s="4">
        <f t="shared" si="2"/>
        <v>0</v>
      </c>
      <c r="AA9" s="4">
        <v>0</v>
      </c>
      <c r="AB9" s="4">
        <v>0</v>
      </c>
      <c r="AC9" s="4">
        <f t="shared" si="3"/>
        <v>0</v>
      </c>
      <c r="AD9" s="4">
        <v>0</v>
      </c>
      <c r="AE9" s="4">
        <v>0</v>
      </c>
      <c r="AF9" s="2" t="s">
        <v>2</v>
      </c>
    </row>
    <row r="10" spans="1:32" ht="24" customHeight="1" x14ac:dyDescent="0.3">
      <c r="A10" s="2" t="s">
        <v>50</v>
      </c>
      <c r="B10" s="11"/>
      <c r="C10" s="11"/>
      <c r="D10" s="2" t="s">
        <v>398</v>
      </c>
      <c r="E10" s="2" t="s">
        <v>399</v>
      </c>
      <c r="F10" s="2" t="s">
        <v>400</v>
      </c>
      <c r="G10" s="2" t="s">
        <v>2</v>
      </c>
      <c r="H10" s="2" t="s">
        <v>389</v>
      </c>
      <c r="I10" s="2" t="s">
        <v>390</v>
      </c>
      <c r="J10" s="2" t="s">
        <v>2</v>
      </c>
      <c r="K10" s="4">
        <v>4.3</v>
      </c>
      <c r="L10" s="3">
        <v>8</v>
      </c>
      <c r="M10" s="2" t="s">
        <v>47</v>
      </c>
      <c r="N10" s="2" t="s">
        <v>72</v>
      </c>
      <c r="O10" s="4">
        <v>0</v>
      </c>
      <c r="P10" s="4">
        <f t="shared" si="0"/>
        <v>0</v>
      </c>
      <c r="Q10" s="4">
        <v>0</v>
      </c>
      <c r="R10" s="4">
        <v>0</v>
      </c>
      <c r="S10" s="4">
        <v>0</v>
      </c>
      <c r="T10" s="4">
        <v>0</v>
      </c>
      <c r="U10" s="2" t="s">
        <v>401</v>
      </c>
      <c r="V10" s="2" t="s">
        <v>402</v>
      </c>
      <c r="W10" s="2" t="s">
        <v>2</v>
      </c>
      <c r="X10" s="4">
        <v>0</v>
      </c>
      <c r="Y10" s="4">
        <f t="shared" si="1"/>
        <v>0</v>
      </c>
      <c r="Z10" s="4">
        <f t="shared" si="2"/>
        <v>0</v>
      </c>
      <c r="AA10" s="4">
        <v>0</v>
      </c>
      <c r="AB10" s="4">
        <v>0</v>
      </c>
      <c r="AC10" s="4">
        <f t="shared" si="3"/>
        <v>0</v>
      </c>
      <c r="AD10" s="4">
        <v>0</v>
      </c>
      <c r="AE10" s="4">
        <v>0</v>
      </c>
      <c r="AF10" s="2" t="s">
        <v>2</v>
      </c>
    </row>
    <row r="11" spans="1:32" ht="24" customHeight="1" x14ac:dyDescent="0.3">
      <c r="A11" s="2" t="s">
        <v>51</v>
      </c>
      <c r="B11" s="11"/>
      <c r="C11" s="11" t="s">
        <v>403</v>
      </c>
      <c r="D11" s="2" t="s">
        <v>404</v>
      </c>
      <c r="E11" s="2" t="s">
        <v>405</v>
      </c>
      <c r="F11" s="2" t="s">
        <v>406</v>
      </c>
      <c r="G11" s="2" t="s">
        <v>2</v>
      </c>
      <c r="H11" s="2" t="s">
        <v>389</v>
      </c>
      <c r="I11" s="2" t="s">
        <v>407</v>
      </c>
      <c r="J11" s="2" t="s">
        <v>2</v>
      </c>
      <c r="K11" s="4">
        <v>46.8</v>
      </c>
      <c r="L11" s="3">
        <v>24</v>
      </c>
      <c r="M11" s="2" t="s">
        <v>101</v>
      </c>
      <c r="N11" s="2" t="s">
        <v>48</v>
      </c>
      <c r="O11" s="4">
        <v>0</v>
      </c>
      <c r="P11" s="4">
        <f t="shared" si="0"/>
        <v>0</v>
      </c>
      <c r="Q11" s="4">
        <v>0</v>
      </c>
      <c r="R11" s="4">
        <v>0</v>
      </c>
      <c r="S11" s="4">
        <v>0</v>
      </c>
      <c r="T11" s="4">
        <v>0</v>
      </c>
      <c r="U11" s="2" t="s">
        <v>408</v>
      </c>
      <c r="V11" s="2" t="s">
        <v>409</v>
      </c>
      <c r="W11" s="2" t="s">
        <v>2</v>
      </c>
      <c r="X11" s="4">
        <v>0</v>
      </c>
      <c r="Y11" s="4">
        <f t="shared" si="1"/>
        <v>0</v>
      </c>
      <c r="Z11" s="4">
        <f t="shared" si="2"/>
        <v>0</v>
      </c>
      <c r="AA11" s="4">
        <v>0</v>
      </c>
      <c r="AB11" s="4">
        <v>0</v>
      </c>
      <c r="AC11" s="4">
        <f t="shared" si="3"/>
        <v>0</v>
      </c>
      <c r="AD11" s="4">
        <v>0</v>
      </c>
      <c r="AE11" s="4">
        <v>0</v>
      </c>
      <c r="AF11" s="2" t="s">
        <v>2</v>
      </c>
    </row>
    <row r="12" spans="1:32" ht="24" customHeight="1" x14ac:dyDescent="0.3">
      <c r="A12" s="2" t="s">
        <v>52</v>
      </c>
      <c r="B12" s="11"/>
      <c r="C12" s="11" t="s">
        <v>60</v>
      </c>
      <c r="D12" s="2" t="s">
        <v>410</v>
      </c>
      <c r="E12" s="2" t="s">
        <v>411</v>
      </c>
      <c r="F12" s="2" t="s">
        <v>412</v>
      </c>
      <c r="G12" s="2" t="s">
        <v>2</v>
      </c>
      <c r="H12" s="2" t="s">
        <v>413</v>
      </c>
      <c r="I12" s="2" t="s">
        <v>413</v>
      </c>
      <c r="J12" s="2" t="s">
        <v>2</v>
      </c>
      <c r="K12" s="4">
        <v>2</v>
      </c>
      <c r="L12" s="3">
        <v>8</v>
      </c>
      <c r="M12" s="2" t="s">
        <v>47</v>
      </c>
      <c r="N12" s="2" t="s">
        <v>72</v>
      </c>
      <c r="O12" s="4">
        <v>86.8</v>
      </c>
      <c r="P12" s="4">
        <f t="shared" si="0"/>
        <v>0.4</v>
      </c>
      <c r="Q12" s="4">
        <v>0.4</v>
      </c>
      <c r="R12" s="4">
        <v>0</v>
      </c>
      <c r="S12" s="4">
        <v>0</v>
      </c>
      <c r="T12" s="4">
        <v>0</v>
      </c>
      <c r="U12" s="2" t="s">
        <v>414</v>
      </c>
      <c r="V12" s="2" t="s">
        <v>415</v>
      </c>
      <c r="W12" s="2" t="s">
        <v>2</v>
      </c>
      <c r="X12" s="4">
        <v>0</v>
      </c>
      <c r="Y12" s="4">
        <f t="shared" si="1"/>
        <v>0</v>
      </c>
      <c r="Z12" s="4">
        <f t="shared" si="2"/>
        <v>0</v>
      </c>
      <c r="AA12" s="4">
        <v>0</v>
      </c>
      <c r="AB12" s="4">
        <v>0</v>
      </c>
      <c r="AC12" s="4">
        <f t="shared" si="3"/>
        <v>0</v>
      </c>
      <c r="AD12" s="4">
        <v>0</v>
      </c>
      <c r="AE12" s="4">
        <v>0</v>
      </c>
      <c r="AF12" s="2" t="s">
        <v>2</v>
      </c>
    </row>
    <row r="13" spans="1:32" ht="24" customHeight="1" x14ac:dyDescent="0.3">
      <c r="A13" s="2" t="s">
        <v>77</v>
      </c>
      <c r="B13" s="11"/>
      <c r="C13" s="11"/>
      <c r="D13" s="2" t="s">
        <v>416</v>
      </c>
      <c r="E13" s="2" t="s">
        <v>417</v>
      </c>
      <c r="F13" s="2" t="s">
        <v>418</v>
      </c>
      <c r="G13" s="2" t="s">
        <v>2</v>
      </c>
      <c r="H13" s="2" t="s">
        <v>413</v>
      </c>
      <c r="I13" s="2" t="s">
        <v>419</v>
      </c>
      <c r="J13" s="2" t="s">
        <v>2</v>
      </c>
      <c r="K13" s="4">
        <v>2</v>
      </c>
      <c r="L13" s="3">
        <v>8</v>
      </c>
      <c r="M13" s="2" t="s">
        <v>47</v>
      </c>
      <c r="N13" s="2" t="s">
        <v>72</v>
      </c>
      <c r="O13" s="4">
        <v>0</v>
      </c>
      <c r="P13" s="4">
        <f t="shared" si="0"/>
        <v>0</v>
      </c>
      <c r="Q13" s="4">
        <v>0</v>
      </c>
      <c r="R13" s="4">
        <v>0</v>
      </c>
      <c r="S13" s="4">
        <v>0</v>
      </c>
      <c r="T13" s="4">
        <v>0</v>
      </c>
      <c r="U13" s="2" t="s">
        <v>420</v>
      </c>
      <c r="V13" s="2" t="s">
        <v>421</v>
      </c>
      <c r="W13" s="2" t="s">
        <v>422</v>
      </c>
      <c r="X13" s="4">
        <v>0</v>
      </c>
      <c r="Y13" s="4">
        <f t="shared" si="1"/>
        <v>0</v>
      </c>
      <c r="Z13" s="4">
        <f t="shared" si="2"/>
        <v>0</v>
      </c>
      <c r="AA13" s="4">
        <v>0</v>
      </c>
      <c r="AB13" s="4">
        <v>0</v>
      </c>
      <c r="AC13" s="4">
        <f t="shared" si="3"/>
        <v>0</v>
      </c>
      <c r="AD13" s="4">
        <v>0</v>
      </c>
      <c r="AE13" s="4">
        <v>0</v>
      </c>
      <c r="AF13" s="2" t="s">
        <v>2</v>
      </c>
    </row>
    <row r="14" spans="1:32" ht="24" customHeight="1" x14ac:dyDescent="0.3">
      <c r="A14" s="2" t="s">
        <v>82</v>
      </c>
      <c r="B14" s="11"/>
      <c r="C14" s="11"/>
      <c r="D14" s="2" t="s">
        <v>423</v>
      </c>
      <c r="E14" s="2" t="s">
        <v>424</v>
      </c>
      <c r="F14" s="2" t="s">
        <v>425</v>
      </c>
      <c r="G14" s="2" t="s">
        <v>2</v>
      </c>
      <c r="H14" s="2" t="s">
        <v>426</v>
      </c>
      <c r="I14" s="2" t="s">
        <v>426</v>
      </c>
      <c r="J14" s="2" t="s">
        <v>2</v>
      </c>
      <c r="K14" s="4">
        <v>4</v>
      </c>
      <c r="L14" s="3">
        <v>8</v>
      </c>
      <c r="M14" s="2" t="s">
        <v>47</v>
      </c>
      <c r="N14" s="2" t="s">
        <v>72</v>
      </c>
      <c r="O14" s="4">
        <v>0</v>
      </c>
      <c r="P14" s="4">
        <f t="shared" si="0"/>
        <v>0</v>
      </c>
      <c r="Q14" s="4">
        <v>0</v>
      </c>
      <c r="R14" s="4">
        <v>0</v>
      </c>
      <c r="S14" s="4">
        <v>0</v>
      </c>
      <c r="T14" s="4">
        <v>0</v>
      </c>
      <c r="U14" s="2" t="s">
        <v>427</v>
      </c>
      <c r="V14" s="2" t="s">
        <v>428</v>
      </c>
      <c r="W14" s="2" t="s">
        <v>2</v>
      </c>
      <c r="X14" s="4">
        <v>0</v>
      </c>
      <c r="Y14" s="4">
        <f t="shared" si="1"/>
        <v>0</v>
      </c>
      <c r="Z14" s="4">
        <f t="shared" si="2"/>
        <v>0</v>
      </c>
      <c r="AA14" s="4">
        <v>0</v>
      </c>
      <c r="AB14" s="4">
        <v>0</v>
      </c>
      <c r="AC14" s="4">
        <f t="shared" si="3"/>
        <v>0</v>
      </c>
      <c r="AD14" s="4">
        <v>0</v>
      </c>
      <c r="AE14" s="4">
        <v>0</v>
      </c>
      <c r="AF14" s="2" t="s">
        <v>2</v>
      </c>
    </row>
    <row r="15" spans="1:32" ht="24" customHeight="1" x14ac:dyDescent="0.3">
      <c r="A15" s="2" t="s">
        <v>87</v>
      </c>
      <c r="B15" s="11"/>
      <c r="C15" s="11"/>
      <c r="D15" s="2" t="s">
        <v>429</v>
      </c>
      <c r="E15" s="2" t="s">
        <v>405</v>
      </c>
      <c r="F15" s="2" t="s">
        <v>430</v>
      </c>
      <c r="G15" s="2" t="s">
        <v>2</v>
      </c>
      <c r="H15" s="2" t="s">
        <v>431</v>
      </c>
      <c r="I15" s="2" t="s">
        <v>431</v>
      </c>
      <c r="J15" s="2" t="s">
        <v>2</v>
      </c>
      <c r="K15" s="4">
        <v>43</v>
      </c>
      <c r="L15" s="3">
        <v>24</v>
      </c>
      <c r="M15" s="2" t="s">
        <v>47</v>
      </c>
      <c r="N15" s="2" t="s">
        <v>48</v>
      </c>
      <c r="O15" s="4">
        <v>0</v>
      </c>
      <c r="P15" s="4">
        <f t="shared" si="0"/>
        <v>0</v>
      </c>
      <c r="Q15" s="4">
        <v>0</v>
      </c>
      <c r="R15" s="4">
        <v>0</v>
      </c>
      <c r="S15" s="4">
        <v>0</v>
      </c>
      <c r="T15" s="4">
        <v>0</v>
      </c>
      <c r="U15" s="2" t="s">
        <v>432</v>
      </c>
      <c r="V15" s="2" t="s">
        <v>433</v>
      </c>
      <c r="W15" s="2" t="s">
        <v>434</v>
      </c>
      <c r="X15" s="4">
        <v>0</v>
      </c>
      <c r="Y15" s="4">
        <f t="shared" si="1"/>
        <v>0</v>
      </c>
      <c r="Z15" s="4">
        <f t="shared" si="2"/>
        <v>0</v>
      </c>
      <c r="AA15" s="4">
        <v>0</v>
      </c>
      <c r="AB15" s="4">
        <v>0</v>
      </c>
      <c r="AC15" s="4">
        <f t="shared" si="3"/>
        <v>0</v>
      </c>
      <c r="AD15" s="4">
        <v>0</v>
      </c>
      <c r="AE15" s="4">
        <v>0</v>
      </c>
      <c r="AF15" s="2" t="s">
        <v>2</v>
      </c>
    </row>
  </sheetData>
  <autoFilter ref="A6:AF6" xr:uid="{00000000-0009-0000-0000-000003000000}"/>
  <mergeCells count="29">
    <mergeCell ref="B7:B15"/>
    <mergeCell ref="C7"/>
    <mergeCell ref="C8:C10"/>
    <mergeCell ref="C11"/>
    <mergeCell ref="C12:C15"/>
    <mergeCell ref="V4:V6"/>
    <mergeCell ref="W4:W6"/>
    <mergeCell ref="X4:X6"/>
    <mergeCell ref="Y4:AE4"/>
    <mergeCell ref="AF4:AF6"/>
    <mergeCell ref="Y5:Y6"/>
    <mergeCell ref="Z5:AB5"/>
    <mergeCell ref="AC5:AE5"/>
    <mergeCell ref="A1:AF1"/>
    <mergeCell ref="A2:AF2"/>
    <mergeCell ref="A4:A6"/>
    <mergeCell ref="B4:B6"/>
    <mergeCell ref="C4:C6"/>
    <mergeCell ref="D4:D6"/>
    <mergeCell ref="E4:E6"/>
    <mergeCell ref="F4:F6"/>
    <mergeCell ref="G4:J5"/>
    <mergeCell ref="K4:K5"/>
    <mergeCell ref="L4:L5"/>
    <mergeCell ref="M4:M6"/>
    <mergeCell ref="N4:N6"/>
    <mergeCell ref="O4:O5"/>
    <mergeCell ref="P4:T5"/>
    <mergeCell ref="U4:U6"/>
  </mergeCells>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2"/>
  <sheetViews>
    <sheetView workbookViewId="0">
      <pane xSplit="5" ySplit="6" topLeftCell="F7" activePane="bottomRight" state="frozen"/>
      <selection pane="topRight"/>
      <selection pane="bottomLeft"/>
      <selection pane="bottomRight" activeCell="A7" sqref="A7"/>
    </sheetView>
  </sheetViews>
  <sheetFormatPr defaultRowHeight="16.5" x14ac:dyDescent="0.3"/>
  <cols>
    <col min="1" max="1" width="6" customWidth="1"/>
    <col min="2" max="3" width="12.625" customWidth="1"/>
    <col min="4" max="4" width="22.25" customWidth="1"/>
    <col min="5" max="5" width="10.375" customWidth="1"/>
    <col min="6" max="6" width="22.25" customWidth="1"/>
    <col min="7" max="7" width="10.375" customWidth="1"/>
    <col min="8" max="8" width="20.75" customWidth="1"/>
    <col min="9" max="9" width="16.375" customWidth="1"/>
    <col min="10" max="10" width="11.25" customWidth="1"/>
    <col min="11" max="17" width="10.375" customWidth="1"/>
    <col min="18" max="18" width="14.875" customWidth="1"/>
    <col min="19" max="19" width="13.25" customWidth="1"/>
    <col min="20" max="24" width="10.375" customWidth="1"/>
    <col min="25" max="25" width="17.5" customWidth="1"/>
    <col min="26" max="27" width="17.875" customWidth="1"/>
    <col min="28" max="28" width="10.375" customWidth="1"/>
  </cols>
  <sheetData>
    <row r="1" spans="1:28" ht="18.75" x14ac:dyDescent="0.3">
      <c r="A1" s="8" t="s">
        <v>380</v>
      </c>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3">
      <c r="A2" s="9" t="s">
        <v>444</v>
      </c>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
      <c r="A3" s="5"/>
      <c r="B3" s="5"/>
      <c r="C3" s="5"/>
      <c r="D3" s="5"/>
      <c r="E3" s="5"/>
      <c r="F3" s="5"/>
      <c r="G3" s="5"/>
      <c r="H3" s="5"/>
      <c r="I3" s="5"/>
      <c r="J3" s="5"/>
      <c r="K3" s="5"/>
      <c r="L3" s="5"/>
      <c r="M3" s="5"/>
      <c r="N3" s="5"/>
      <c r="O3" s="5"/>
      <c r="P3" s="5"/>
      <c r="Q3" s="5"/>
      <c r="R3" s="5"/>
      <c r="S3" s="5"/>
      <c r="T3" s="5"/>
      <c r="U3" s="5"/>
      <c r="V3" s="5"/>
      <c r="W3" s="5"/>
      <c r="X3" s="5"/>
      <c r="Y3" s="5"/>
      <c r="Z3" s="5"/>
      <c r="AA3" s="5"/>
      <c r="AB3" s="5" t="s">
        <v>2</v>
      </c>
    </row>
    <row r="4" spans="1:28" ht="24" customHeight="1" x14ac:dyDescent="0.3">
      <c r="A4" s="10" t="s">
        <v>3</v>
      </c>
      <c r="B4" s="10" t="s">
        <v>4</v>
      </c>
      <c r="C4" s="10" t="s">
        <v>5</v>
      </c>
      <c r="D4" s="10" t="s">
        <v>382</v>
      </c>
      <c r="E4" s="10" t="s">
        <v>383</v>
      </c>
      <c r="F4" s="10" t="s">
        <v>7</v>
      </c>
      <c r="G4" s="10" t="s">
        <v>8</v>
      </c>
      <c r="H4" s="10"/>
      <c r="I4" s="10"/>
      <c r="J4" s="10"/>
      <c r="K4" s="10" t="s">
        <v>445</v>
      </c>
      <c r="L4" s="10"/>
      <c r="M4" s="10"/>
      <c r="N4" s="10"/>
      <c r="O4" s="10"/>
      <c r="P4" s="10"/>
      <c r="Q4" s="10"/>
      <c r="R4" s="10"/>
      <c r="S4" s="1" t="s">
        <v>13</v>
      </c>
      <c r="T4" s="10" t="s">
        <v>14</v>
      </c>
      <c r="U4" s="10"/>
      <c r="V4" s="10"/>
      <c r="W4" s="10"/>
      <c r="X4" s="10"/>
      <c r="Y4" s="10" t="s">
        <v>384</v>
      </c>
      <c r="Z4" s="10" t="s">
        <v>18</v>
      </c>
      <c r="AA4" s="10" t="s">
        <v>19</v>
      </c>
      <c r="AB4" s="10" t="s">
        <v>22</v>
      </c>
    </row>
    <row r="5" spans="1:28" ht="24" customHeight="1" x14ac:dyDescent="0.3">
      <c r="A5" s="10"/>
      <c r="B5" s="10"/>
      <c r="C5" s="10"/>
      <c r="D5" s="10"/>
      <c r="E5" s="10"/>
      <c r="F5" s="10"/>
      <c r="G5" s="10" t="s">
        <v>26</v>
      </c>
      <c r="H5" s="10" t="s">
        <v>27</v>
      </c>
      <c r="I5" s="10" t="s">
        <v>28</v>
      </c>
      <c r="J5" s="10" t="s">
        <v>29</v>
      </c>
      <c r="K5" s="10" t="s">
        <v>33</v>
      </c>
      <c r="L5" s="10" t="s">
        <v>446</v>
      </c>
      <c r="M5" s="10"/>
      <c r="N5" s="10" t="s">
        <v>447</v>
      </c>
      <c r="O5" s="10"/>
      <c r="P5" s="10" t="s">
        <v>448</v>
      </c>
      <c r="Q5" s="10"/>
      <c r="R5" s="10" t="s">
        <v>449</v>
      </c>
      <c r="S5" s="10" t="s">
        <v>32</v>
      </c>
      <c r="T5" s="10" t="s">
        <v>33</v>
      </c>
      <c r="U5" s="10" t="s">
        <v>34</v>
      </c>
      <c r="V5" s="10" t="s">
        <v>35</v>
      </c>
      <c r="W5" s="10" t="s">
        <v>36</v>
      </c>
      <c r="X5" s="10" t="s">
        <v>37</v>
      </c>
      <c r="Y5" s="10"/>
      <c r="Z5" s="10"/>
      <c r="AA5" s="10"/>
      <c r="AB5" s="10"/>
    </row>
    <row r="6" spans="1:28" ht="48" customHeight="1" x14ac:dyDescent="0.3">
      <c r="A6" s="10"/>
      <c r="B6" s="10"/>
      <c r="C6" s="10"/>
      <c r="D6" s="10"/>
      <c r="E6" s="10"/>
      <c r="F6" s="10"/>
      <c r="G6" s="10"/>
      <c r="H6" s="10"/>
      <c r="I6" s="10"/>
      <c r="J6" s="10"/>
      <c r="K6" s="10"/>
      <c r="L6" s="1" t="s">
        <v>450</v>
      </c>
      <c r="M6" s="1" t="s">
        <v>451</v>
      </c>
      <c r="N6" s="1" t="s">
        <v>452</v>
      </c>
      <c r="O6" s="1" t="s">
        <v>453</v>
      </c>
      <c r="P6" s="1" t="s">
        <v>454</v>
      </c>
      <c r="Q6" s="1" t="s">
        <v>455</v>
      </c>
      <c r="R6" s="10"/>
      <c r="S6" s="10"/>
      <c r="T6" s="10"/>
      <c r="U6" s="10"/>
      <c r="V6" s="10"/>
      <c r="W6" s="10"/>
      <c r="X6" s="10"/>
      <c r="Y6" s="10"/>
      <c r="Z6" s="10"/>
      <c r="AA6" s="10"/>
      <c r="AB6" s="10"/>
    </row>
    <row r="7" spans="1:28" ht="24" customHeight="1" x14ac:dyDescent="0.3">
      <c r="A7" s="2" t="s">
        <v>45</v>
      </c>
      <c r="B7" s="11" t="s">
        <v>55</v>
      </c>
      <c r="C7" s="11" t="s">
        <v>40</v>
      </c>
      <c r="D7" s="2" t="s">
        <v>2</v>
      </c>
      <c r="E7" s="2" t="s">
        <v>2</v>
      </c>
      <c r="F7" s="2" t="s">
        <v>2</v>
      </c>
      <c r="G7" s="2" t="s">
        <v>2</v>
      </c>
      <c r="H7" s="2" t="s">
        <v>2</v>
      </c>
      <c r="I7" s="2" t="s">
        <v>2</v>
      </c>
      <c r="J7" s="2" t="s">
        <v>2</v>
      </c>
      <c r="K7" s="4">
        <f t="shared" ref="K7:K12" si="0">SUM(L7:R7)</f>
        <v>417</v>
      </c>
      <c r="L7" s="4">
        <v>0</v>
      </c>
      <c r="M7" s="4">
        <v>417</v>
      </c>
      <c r="N7" s="4">
        <v>0</v>
      </c>
      <c r="O7" s="4">
        <v>0</v>
      </c>
      <c r="P7" s="4">
        <v>0</v>
      </c>
      <c r="Q7" s="4">
        <v>0</v>
      </c>
      <c r="R7" s="4">
        <v>0</v>
      </c>
      <c r="S7" s="4">
        <v>1957.1</v>
      </c>
      <c r="T7" s="4">
        <f t="shared" ref="T7:T12" si="1">SUM(U7:X7)</f>
        <v>367</v>
      </c>
      <c r="U7" s="4">
        <v>367</v>
      </c>
      <c r="V7" s="4">
        <v>0</v>
      </c>
      <c r="W7" s="4">
        <v>0</v>
      </c>
      <c r="X7" s="4">
        <v>0</v>
      </c>
      <c r="Y7" s="2" t="s">
        <v>2</v>
      </c>
      <c r="Z7" s="2" t="s">
        <v>2</v>
      </c>
      <c r="AA7" s="2" t="s">
        <v>2</v>
      </c>
      <c r="AB7" s="2" t="s">
        <v>2</v>
      </c>
    </row>
    <row r="8" spans="1:28" ht="24" customHeight="1" x14ac:dyDescent="0.3">
      <c r="A8" s="2" t="s">
        <v>46</v>
      </c>
      <c r="B8" s="11"/>
      <c r="C8" s="11" t="s">
        <v>211</v>
      </c>
      <c r="D8" s="2" t="s">
        <v>456</v>
      </c>
      <c r="E8" s="2" t="s">
        <v>405</v>
      </c>
      <c r="F8" s="2" t="s">
        <v>457</v>
      </c>
      <c r="G8" s="2" t="s">
        <v>2</v>
      </c>
      <c r="H8" s="2" t="s">
        <v>2</v>
      </c>
      <c r="I8" s="2" t="s">
        <v>458</v>
      </c>
      <c r="J8" s="2" t="s">
        <v>2</v>
      </c>
      <c r="K8" s="4">
        <f t="shared" si="0"/>
        <v>6.9</v>
      </c>
      <c r="L8" s="4">
        <v>0</v>
      </c>
      <c r="M8" s="4">
        <v>6.9</v>
      </c>
      <c r="N8" s="4">
        <v>0</v>
      </c>
      <c r="O8" s="4">
        <v>0</v>
      </c>
      <c r="P8" s="4">
        <v>0</v>
      </c>
      <c r="Q8" s="4">
        <v>0</v>
      </c>
      <c r="R8" s="4">
        <v>0</v>
      </c>
      <c r="S8" s="4">
        <v>0</v>
      </c>
      <c r="T8" s="4">
        <f t="shared" si="1"/>
        <v>0</v>
      </c>
      <c r="U8" s="4">
        <v>0</v>
      </c>
      <c r="V8" s="4">
        <v>0</v>
      </c>
      <c r="W8" s="4">
        <v>0</v>
      </c>
      <c r="X8" s="4">
        <v>0</v>
      </c>
      <c r="Y8" s="2" t="s">
        <v>459</v>
      </c>
      <c r="Z8" s="2" t="s">
        <v>460</v>
      </c>
      <c r="AA8" s="2" t="s">
        <v>2</v>
      </c>
      <c r="AB8" s="2" t="s">
        <v>2</v>
      </c>
    </row>
    <row r="9" spans="1:28" ht="24" customHeight="1" x14ac:dyDescent="0.3">
      <c r="A9" s="2" t="s">
        <v>49</v>
      </c>
      <c r="B9" s="11"/>
      <c r="C9" s="11"/>
      <c r="D9" s="2" t="s">
        <v>461</v>
      </c>
      <c r="E9" s="2" t="s">
        <v>462</v>
      </c>
      <c r="F9" s="2" t="s">
        <v>463</v>
      </c>
      <c r="G9" s="2" t="s">
        <v>2</v>
      </c>
      <c r="H9" s="2" t="s">
        <v>458</v>
      </c>
      <c r="I9" s="2" t="s">
        <v>2</v>
      </c>
      <c r="J9" s="2" t="s">
        <v>2</v>
      </c>
      <c r="K9" s="4">
        <f t="shared" si="0"/>
        <v>70</v>
      </c>
      <c r="L9" s="4">
        <v>0</v>
      </c>
      <c r="M9" s="4">
        <v>70</v>
      </c>
      <c r="N9" s="4">
        <v>0</v>
      </c>
      <c r="O9" s="4">
        <v>0</v>
      </c>
      <c r="P9" s="4">
        <v>0</v>
      </c>
      <c r="Q9" s="4">
        <v>0</v>
      </c>
      <c r="R9" s="4">
        <v>0</v>
      </c>
      <c r="S9" s="4">
        <v>0</v>
      </c>
      <c r="T9" s="4">
        <f t="shared" si="1"/>
        <v>0</v>
      </c>
      <c r="U9" s="4">
        <v>0</v>
      </c>
      <c r="V9" s="4">
        <v>0</v>
      </c>
      <c r="W9" s="4">
        <v>0</v>
      </c>
      <c r="X9" s="4">
        <v>0</v>
      </c>
      <c r="Y9" s="2" t="s">
        <v>464</v>
      </c>
      <c r="Z9" s="2" t="s">
        <v>465</v>
      </c>
      <c r="AA9" s="2" t="s">
        <v>2</v>
      </c>
      <c r="AB9" s="2" t="s">
        <v>2</v>
      </c>
    </row>
    <row r="10" spans="1:28" ht="24" customHeight="1" x14ac:dyDescent="0.3">
      <c r="A10" s="2" t="s">
        <v>50</v>
      </c>
      <c r="B10" s="11"/>
      <c r="C10" s="11" t="s">
        <v>403</v>
      </c>
      <c r="D10" s="2" t="s">
        <v>404</v>
      </c>
      <c r="E10" s="2" t="s">
        <v>405</v>
      </c>
      <c r="F10" s="2" t="s">
        <v>406</v>
      </c>
      <c r="G10" s="2" t="s">
        <v>2</v>
      </c>
      <c r="H10" s="2" t="s">
        <v>2</v>
      </c>
      <c r="I10" s="2" t="s">
        <v>407</v>
      </c>
      <c r="J10" s="2" t="s">
        <v>2</v>
      </c>
      <c r="K10" s="4">
        <f t="shared" si="0"/>
        <v>190.1</v>
      </c>
      <c r="L10" s="4">
        <v>0</v>
      </c>
      <c r="M10" s="4">
        <v>190.1</v>
      </c>
      <c r="N10" s="4">
        <v>0</v>
      </c>
      <c r="O10" s="4">
        <v>0</v>
      </c>
      <c r="P10" s="4">
        <v>0</v>
      </c>
      <c r="Q10" s="4">
        <v>0</v>
      </c>
      <c r="R10" s="4">
        <v>0</v>
      </c>
      <c r="S10" s="4">
        <v>0</v>
      </c>
      <c r="T10" s="4">
        <f t="shared" si="1"/>
        <v>0</v>
      </c>
      <c r="U10" s="4">
        <v>0</v>
      </c>
      <c r="V10" s="4">
        <v>0</v>
      </c>
      <c r="W10" s="4">
        <v>0</v>
      </c>
      <c r="X10" s="4">
        <v>0</v>
      </c>
      <c r="Y10" s="2" t="s">
        <v>408</v>
      </c>
      <c r="Z10" s="2" t="s">
        <v>466</v>
      </c>
      <c r="AA10" s="2" t="s">
        <v>2</v>
      </c>
      <c r="AB10" s="2" t="s">
        <v>2</v>
      </c>
    </row>
    <row r="11" spans="1:28" ht="24" customHeight="1" x14ac:dyDescent="0.3">
      <c r="A11" s="2" t="s">
        <v>51</v>
      </c>
      <c r="B11" s="11"/>
      <c r="C11" s="11"/>
      <c r="D11" s="2" t="s">
        <v>467</v>
      </c>
      <c r="E11" s="2" t="s">
        <v>405</v>
      </c>
      <c r="F11" s="2" t="s">
        <v>468</v>
      </c>
      <c r="G11" s="2" t="s">
        <v>2</v>
      </c>
      <c r="H11" s="2" t="s">
        <v>2</v>
      </c>
      <c r="I11" s="2" t="s">
        <v>469</v>
      </c>
      <c r="J11" s="2" t="s">
        <v>2</v>
      </c>
      <c r="K11" s="4">
        <f t="shared" si="0"/>
        <v>140</v>
      </c>
      <c r="L11" s="4">
        <v>0</v>
      </c>
      <c r="M11" s="4">
        <v>140</v>
      </c>
      <c r="N11" s="4">
        <v>0</v>
      </c>
      <c r="O11" s="4">
        <v>0</v>
      </c>
      <c r="P11" s="4">
        <v>0</v>
      </c>
      <c r="Q11" s="4">
        <v>0</v>
      </c>
      <c r="R11" s="4">
        <v>0</v>
      </c>
      <c r="S11" s="4">
        <v>1957.1</v>
      </c>
      <c r="T11" s="4">
        <f t="shared" si="1"/>
        <v>367</v>
      </c>
      <c r="U11" s="4">
        <v>367</v>
      </c>
      <c r="V11" s="4">
        <v>0</v>
      </c>
      <c r="W11" s="4">
        <v>0</v>
      </c>
      <c r="X11" s="4">
        <v>0</v>
      </c>
      <c r="Y11" s="2" t="s">
        <v>470</v>
      </c>
      <c r="Z11" s="2" t="s">
        <v>471</v>
      </c>
      <c r="AA11" s="2" t="s">
        <v>2</v>
      </c>
      <c r="AB11" s="2" t="s">
        <v>2</v>
      </c>
    </row>
    <row r="12" spans="1:28" ht="24" customHeight="1" x14ac:dyDescent="0.3">
      <c r="A12" s="2" t="s">
        <v>52</v>
      </c>
      <c r="B12" s="11"/>
      <c r="C12" s="11" t="s">
        <v>60</v>
      </c>
      <c r="D12" s="2" t="s">
        <v>472</v>
      </c>
      <c r="E12" s="2" t="s">
        <v>405</v>
      </c>
      <c r="F12" s="2" t="s">
        <v>473</v>
      </c>
      <c r="G12" s="2" t="s">
        <v>2</v>
      </c>
      <c r="H12" s="2" t="s">
        <v>474</v>
      </c>
      <c r="I12" s="2" t="s">
        <v>474</v>
      </c>
      <c r="J12" s="2" t="s">
        <v>2</v>
      </c>
      <c r="K12" s="4">
        <f t="shared" si="0"/>
        <v>10</v>
      </c>
      <c r="L12" s="4">
        <v>0</v>
      </c>
      <c r="M12" s="4">
        <v>10</v>
      </c>
      <c r="N12" s="4">
        <v>0</v>
      </c>
      <c r="O12" s="4">
        <v>0</v>
      </c>
      <c r="P12" s="4">
        <v>0</v>
      </c>
      <c r="Q12" s="4">
        <v>0</v>
      </c>
      <c r="R12" s="4">
        <v>0</v>
      </c>
      <c r="S12" s="4">
        <v>0</v>
      </c>
      <c r="T12" s="4">
        <f t="shared" si="1"/>
        <v>0</v>
      </c>
      <c r="U12" s="4">
        <v>0</v>
      </c>
      <c r="V12" s="4">
        <v>0</v>
      </c>
      <c r="W12" s="4">
        <v>0</v>
      </c>
      <c r="X12" s="4">
        <v>0</v>
      </c>
      <c r="Y12" s="2" t="s">
        <v>475</v>
      </c>
      <c r="Z12" s="2" t="s">
        <v>192</v>
      </c>
      <c r="AA12" s="2" t="s">
        <v>2</v>
      </c>
      <c r="AB12" s="2" t="s">
        <v>2</v>
      </c>
    </row>
  </sheetData>
  <autoFilter ref="A6:AB6" xr:uid="{00000000-0009-0000-0000-000004000000}"/>
  <mergeCells count="35">
    <mergeCell ref="B7:B12"/>
    <mergeCell ref="C7"/>
    <mergeCell ref="C8:C9"/>
    <mergeCell ref="C10:C11"/>
    <mergeCell ref="C12"/>
    <mergeCell ref="H5:H6"/>
    <mergeCell ref="I5:I6"/>
    <mergeCell ref="J5:J6"/>
    <mergeCell ref="K5:K6"/>
    <mergeCell ref="L5:M5"/>
    <mergeCell ref="U5:U6"/>
    <mergeCell ref="V5:V6"/>
    <mergeCell ref="W5:W6"/>
    <mergeCell ref="X5:X6"/>
    <mergeCell ref="N5:O5"/>
    <mergeCell ref="P5:Q5"/>
    <mergeCell ref="R5:R6"/>
    <mergeCell ref="S5:S6"/>
    <mergeCell ref="T5:T6"/>
    <mergeCell ref="A1:AB1"/>
    <mergeCell ref="A2:AB2"/>
    <mergeCell ref="A4:A6"/>
    <mergeCell ref="B4:B6"/>
    <mergeCell ref="C4:C6"/>
    <mergeCell ref="D4:D6"/>
    <mergeCell ref="E4:E6"/>
    <mergeCell ref="F4:F6"/>
    <mergeCell ref="G4:J4"/>
    <mergeCell ref="K4:R4"/>
    <mergeCell ref="T4:X4"/>
    <mergeCell ref="Y4:Y6"/>
    <mergeCell ref="Z4:Z6"/>
    <mergeCell ref="AA4:AA6"/>
    <mergeCell ref="AB4:AB6"/>
    <mergeCell ref="G5:G6"/>
  </mergeCells>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8"/>
  <sheetViews>
    <sheetView workbookViewId="0">
      <selection activeCell="B6" sqref="B6:B8"/>
    </sheetView>
  </sheetViews>
  <sheetFormatPr defaultRowHeight="16.5" x14ac:dyDescent="0.3"/>
  <cols>
    <col min="1" max="1" width="6" customWidth="1"/>
    <col min="2" max="3" width="12.625" customWidth="1"/>
    <col min="4" max="4" width="17.875" customWidth="1"/>
    <col min="5" max="5" width="14.875" customWidth="1"/>
    <col min="6" max="6" width="22.25" customWidth="1"/>
    <col min="7" max="7" width="10.375" customWidth="1"/>
    <col min="8" max="8" width="20.75" customWidth="1"/>
    <col min="9" max="9" width="17.875" customWidth="1"/>
    <col min="10" max="10" width="14" customWidth="1"/>
    <col min="11" max="12" width="17.875" customWidth="1"/>
    <col min="13" max="13" width="10.375" customWidth="1"/>
    <col min="14" max="14" width="16.375" customWidth="1"/>
    <col min="15" max="19" width="10.375" customWidth="1"/>
    <col min="20" max="20" width="17.875" customWidth="1"/>
    <col min="21" max="21" width="14.875" customWidth="1"/>
    <col min="22" max="22" width="14" customWidth="1"/>
    <col min="23" max="23" width="10.375" customWidth="1"/>
  </cols>
  <sheetData>
    <row r="1" spans="1:23" ht="18.75" x14ac:dyDescent="0.3">
      <c r="A1" s="8" t="s">
        <v>380</v>
      </c>
      <c r="B1" s="8"/>
      <c r="C1" s="8"/>
      <c r="D1" s="8"/>
      <c r="E1" s="8"/>
      <c r="F1" s="8"/>
      <c r="G1" s="8"/>
      <c r="H1" s="8"/>
      <c r="I1" s="8"/>
      <c r="J1" s="8"/>
      <c r="K1" s="8"/>
      <c r="L1" s="8"/>
      <c r="M1" s="8"/>
      <c r="N1" s="8"/>
      <c r="O1" s="8"/>
      <c r="P1" s="8"/>
      <c r="Q1" s="8"/>
      <c r="R1" s="8"/>
      <c r="S1" s="8"/>
      <c r="T1" s="8"/>
      <c r="U1" s="8"/>
      <c r="V1" s="8"/>
      <c r="W1" s="8"/>
    </row>
    <row r="2" spans="1:23" x14ac:dyDescent="0.3">
      <c r="A2" s="9" t="s">
        <v>496</v>
      </c>
      <c r="B2" s="9"/>
      <c r="C2" s="9"/>
      <c r="D2" s="9"/>
      <c r="E2" s="9"/>
      <c r="F2" s="9"/>
      <c r="G2" s="9"/>
      <c r="H2" s="9"/>
      <c r="I2" s="9"/>
      <c r="J2" s="9"/>
      <c r="K2" s="9"/>
      <c r="L2" s="9"/>
      <c r="M2" s="9"/>
      <c r="N2" s="9"/>
      <c r="O2" s="9"/>
      <c r="P2" s="9"/>
      <c r="Q2" s="9"/>
      <c r="R2" s="9"/>
      <c r="S2" s="9"/>
      <c r="T2" s="9"/>
      <c r="U2" s="9"/>
      <c r="V2" s="9"/>
      <c r="W2" s="9"/>
    </row>
    <row r="3" spans="1:23" x14ac:dyDescent="0.3">
      <c r="A3" s="5"/>
      <c r="B3" s="5"/>
      <c r="C3" s="5"/>
      <c r="D3" s="5"/>
      <c r="E3" s="5"/>
      <c r="F3" s="5"/>
      <c r="G3" s="5"/>
      <c r="H3" s="5"/>
      <c r="I3" s="5"/>
      <c r="J3" s="5"/>
      <c r="K3" s="5"/>
      <c r="L3" s="5"/>
      <c r="M3" s="5"/>
      <c r="N3" s="5"/>
      <c r="O3" s="5"/>
      <c r="P3" s="5"/>
      <c r="Q3" s="5"/>
      <c r="R3" s="5"/>
      <c r="S3" s="5"/>
      <c r="T3" s="5"/>
      <c r="U3" s="5"/>
      <c r="V3" s="5"/>
      <c r="W3" s="5" t="s">
        <v>2</v>
      </c>
    </row>
    <row r="4" spans="1:23" ht="24" customHeight="1" x14ac:dyDescent="0.3">
      <c r="A4" s="10" t="s">
        <v>3</v>
      </c>
      <c r="B4" s="10" t="s">
        <v>4</v>
      </c>
      <c r="C4" s="10" t="s">
        <v>5</v>
      </c>
      <c r="D4" s="10" t="s">
        <v>382</v>
      </c>
      <c r="E4" s="10" t="s">
        <v>383</v>
      </c>
      <c r="F4" s="10" t="s">
        <v>7</v>
      </c>
      <c r="G4" s="10" t="s">
        <v>497</v>
      </c>
      <c r="H4" s="10"/>
      <c r="I4" s="10"/>
      <c r="J4" s="10"/>
      <c r="K4" s="10" t="s">
        <v>498</v>
      </c>
      <c r="L4" s="10" t="s">
        <v>499</v>
      </c>
      <c r="M4" s="1" t="s">
        <v>500</v>
      </c>
      <c r="N4" s="1" t="s">
        <v>13</v>
      </c>
      <c r="O4" s="10" t="s">
        <v>14</v>
      </c>
      <c r="P4" s="10"/>
      <c r="Q4" s="10"/>
      <c r="R4" s="10"/>
      <c r="S4" s="10"/>
      <c r="T4" s="10" t="s">
        <v>384</v>
      </c>
      <c r="U4" s="10" t="s">
        <v>18</v>
      </c>
      <c r="V4" s="10" t="s">
        <v>19</v>
      </c>
      <c r="W4" s="10" t="s">
        <v>22</v>
      </c>
    </row>
    <row r="5" spans="1:23" ht="36" customHeight="1" x14ac:dyDescent="0.3">
      <c r="A5" s="10"/>
      <c r="B5" s="10"/>
      <c r="C5" s="10"/>
      <c r="D5" s="10"/>
      <c r="E5" s="10"/>
      <c r="F5" s="10"/>
      <c r="G5" s="1" t="s">
        <v>26</v>
      </c>
      <c r="H5" s="1" t="s">
        <v>27</v>
      </c>
      <c r="I5" s="1" t="s">
        <v>28</v>
      </c>
      <c r="J5" s="1" t="s">
        <v>29</v>
      </c>
      <c r="K5" s="10"/>
      <c r="L5" s="10"/>
      <c r="M5" s="1" t="s">
        <v>30</v>
      </c>
      <c r="N5" s="1" t="s">
        <v>32</v>
      </c>
      <c r="O5" s="1" t="s">
        <v>33</v>
      </c>
      <c r="P5" s="1" t="s">
        <v>34</v>
      </c>
      <c r="Q5" s="1" t="s">
        <v>35</v>
      </c>
      <c r="R5" s="1" t="s">
        <v>36</v>
      </c>
      <c r="S5" s="1" t="s">
        <v>37</v>
      </c>
      <c r="T5" s="10"/>
      <c r="U5" s="10"/>
      <c r="V5" s="10"/>
      <c r="W5" s="10"/>
    </row>
    <row r="6" spans="1:23" ht="24" customHeight="1" x14ac:dyDescent="0.3">
      <c r="A6" s="2" t="s">
        <v>53</v>
      </c>
      <c r="B6" s="11" t="s">
        <v>55</v>
      </c>
      <c r="C6" s="11" t="s">
        <v>40</v>
      </c>
      <c r="D6" s="2" t="s">
        <v>2</v>
      </c>
      <c r="E6" s="2" t="s">
        <v>2</v>
      </c>
      <c r="F6" s="2" t="s">
        <v>2</v>
      </c>
      <c r="G6" s="2" t="s">
        <v>2</v>
      </c>
      <c r="H6" s="2" t="s">
        <v>2</v>
      </c>
      <c r="I6" s="2" t="s">
        <v>2</v>
      </c>
      <c r="J6" s="2" t="s">
        <v>2</v>
      </c>
      <c r="K6" s="2" t="s">
        <v>2</v>
      </c>
      <c r="L6" s="2" t="s">
        <v>2</v>
      </c>
      <c r="M6" s="4">
        <v>1120</v>
      </c>
      <c r="N6" s="4">
        <v>166143.5</v>
      </c>
      <c r="O6" s="4">
        <f t="shared" ref="O6:O8" si="0">SUM(P6:S6)</f>
        <v>0</v>
      </c>
      <c r="P6" s="4">
        <v>0</v>
      </c>
      <c r="Q6" s="4">
        <v>0</v>
      </c>
      <c r="R6" s="4">
        <v>0</v>
      </c>
      <c r="S6" s="4">
        <v>0</v>
      </c>
      <c r="T6" s="2" t="s">
        <v>2</v>
      </c>
      <c r="U6" s="2" t="s">
        <v>2</v>
      </c>
      <c r="V6" s="2" t="s">
        <v>2</v>
      </c>
      <c r="W6" s="2" t="s">
        <v>2</v>
      </c>
    </row>
    <row r="7" spans="1:23" ht="24" customHeight="1" x14ac:dyDescent="0.3">
      <c r="A7" s="2" t="s">
        <v>46</v>
      </c>
      <c r="B7" s="11"/>
      <c r="C7" s="11" t="s">
        <v>193</v>
      </c>
      <c r="D7" s="2" t="s">
        <v>502</v>
      </c>
      <c r="E7" s="2" t="s">
        <v>503</v>
      </c>
      <c r="F7" s="2" t="s">
        <v>504</v>
      </c>
      <c r="G7" s="2" t="s">
        <v>2</v>
      </c>
      <c r="H7" s="2" t="s">
        <v>2</v>
      </c>
      <c r="I7" s="2" t="s">
        <v>505</v>
      </c>
      <c r="J7" s="2" t="s">
        <v>2</v>
      </c>
      <c r="K7" s="2" t="s">
        <v>506</v>
      </c>
      <c r="L7" s="2" t="s">
        <v>507</v>
      </c>
      <c r="M7" s="4">
        <v>1120</v>
      </c>
      <c r="N7" s="4">
        <v>166143.5</v>
      </c>
      <c r="O7" s="4">
        <f t="shared" si="0"/>
        <v>0</v>
      </c>
      <c r="P7" s="4">
        <v>0</v>
      </c>
      <c r="Q7" s="4">
        <v>0</v>
      </c>
      <c r="R7" s="4">
        <v>0</v>
      </c>
      <c r="S7" s="4">
        <v>0</v>
      </c>
      <c r="T7" s="2" t="s">
        <v>508</v>
      </c>
      <c r="U7" s="2" t="s">
        <v>509</v>
      </c>
      <c r="V7" s="2" t="s">
        <v>2</v>
      </c>
      <c r="W7" s="2" t="s">
        <v>510</v>
      </c>
    </row>
    <row r="8" spans="1:23" ht="24" customHeight="1" x14ac:dyDescent="0.3">
      <c r="A8" s="2" t="s">
        <v>49</v>
      </c>
      <c r="B8" s="11"/>
      <c r="C8" s="11" t="s">
        <v>60</v>
      </c>
      <c r="D8" s="2" t="s">
        <v>511</v>
      </c>
      <c r="E8" s="2" t="s">
        <v>512</v>
      </c>
      <c r="F8" s="2" t="s">
        <v>513</v>
      </c>
      <c r="G8" s="2" t="s">
        <v>2</v>
      </c>
      <c r="H8" s="2" t="s">
        <v>477</v>
      </c>
      <c r="I8" s="2" t="s">
        <v>2</v>
      </c>
      <c r="J8" s="2" t="s">
        <v>2</v>
      </c>
      <c r="K8" s="2" t="s">
        <v>298</v>
      </c>
      <c r="L8" s="2" t="s">
        <v>514</v>
      </c>
      <c r="M8" s="4">
        <v>0</v>
      </c>
      <c r="N8" s="4">
        <v>0</v>
      </c>
      <c r="O8" s="4">
        <f t="shared" si="0"/>
        <v>0</v>
      </c>
      <c r="P8" s="4">
        <v>0</v>
      </c>
      <c r="Q8" s="4">
        <v>0</v>
      </c>
      <c r="R8" s="4">
        <v>0</v>
      </c>
      <c r="S8" s="4">
        <v>0</v>
      </c>
      <c r="T8" s="2" t="s">
        <v>515</v>
      </c>
      <c r="U8" s="2" t="s">
        <v>516</v>
      </c>
      <c r="V8" s="2" t="s">
        <v>2</v>
      </c>
      <c r="W8" s="2" t="s">
        <v>2</v>
      </c>
    </row>
  </sheetData>
  <autoFilter ref="A5:W5" xr:uid="{00000000-0009-0000-0000-000005000000}"/>
  <mergeCells count="20">
    <mergeCell ref="B6:B8"/>
    <mergeCell ref="C6"/>
    <mergeCell ref="C7"/>
    <mergeCell ref="C8"/>
    <mergeCell ref="A1:W1"/>
    <mergeCell ref="A2:W2"/>
    <mergeCell ref="A4:A5"/>
    <mergeCell ref="B4:B5"/>
    <mergeCell ref="C4:C5"/>
    <mergeCell ref="D4:D5"/>
    <mergeCell ref="E4:E5"/>
    <mergeCell ref="F4:F5"/>
    <mergeCell ref="G4:J4"/>
    <mergeCell ref="K4:K5"/>
    <mergeCell ref="L4:L5"/>
    <mergeCell ref="O4:S4"/>
    <mergeCell ref="T4:T5"/>
    <mergeCell ref="U4:U5"/>
    <mergeCell ref="V4:V5"/>
    <mergeCell ref="W4:W5"/>
  </mergeCells>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
  <sheetViews>
    <sheetView workbookViewId="0">
      <selection activeCell="B6" sqref="B6:B9"/>
    </sheetView>
  </sheetViews>
  <sheetFormatPr defaultRowHeight="16.5" x14ac:dyDescent="0.3"/>
  <cols>
    <col min="1" max="1" width="6" customWidth="1"/>
    <col min="2" max="3" width="12.625" customWidth="1"/>
    <col min="4" max="4" width="17.875" customWidth="1"/>
    <col min="5" max="5" width="11.875" customWidth="1"/>
    <col min="6" max="6" width="22.25" customWidth="1"/>
    <col min="7" max="7" width="10.875" customWidth="1"/>
    <col min="8" max="8" width="10.375" customWidth="1"/>
    <col min="9" max="9" width="20.75" customWidth="1"/>
    <col min="10" max="10" width="16.375" customWidth="1"/>
    <col min="11" max="11" width="12.75" customWidth="1"/>
    <col min="12" max="16" width="17.875" customWidth="1"/>
    <col min="17" max="17" width="13.375" customWidth="1"/>
    <col min="18" max="18" width="17.875" customWidth="1"/>
    <col min="19" max="19" width="10.375" customWidth="1"/>
    <col min="20" max="20" width="11.875" customWidth="1"/>
    <col min="21" max="21" width="12.875" customWidth="1"/>
    <col min="22" max="22" width="17.875" customWidth="1"/>
    <col min="23" max="23" width="14.875" customWidth="1"/>
    <col min="24" max="25" width="10.375" customWidth="1"/>
  </cols>
  <sheetData>
    <row r="1" spans="1:25" ht="18.75" x14ac:dyDescent="0.3">
      <c r="A1" s="8" t="s">
        <v>380</v>
      </c>
      <c r="B1" s="8"/>
      <c r="C1" s="8"/>
      <c r="D1" s="8"/>
      <c r="E1" s="8"/>
      <c r="F1" s="8"/>
      <c r="G1" s="8"/>
      <c r="H1" s="8"/>
      <c r="I1" s="8"/>
      <c r="J1" s="8"/>
      <c r="K1" s="8"/>
      <c r="L1" s="8"/>
      <c r="M1" s="8"/>
      <c r="N1" s="8"/>
      <c r="O1" s="8"/>
      <c r="P1" s="8"/>
      <c r="Q1" s="8"/>
      <c r="R1" s="8"/>
      <c r="S1" s="8"/>
      <c r="T1" s="8"/>
      <c r="U1" s="8"/>
      <c r="V1" s="8"/>
      <c r="W1" s="8"/>
      <c r="X1" s="8"/>
      <c r="Y1" s="8"/>
    </row>
    <row r="2" spans="1:25" x14ac:dyDescent="0.3">
      <c r="A2" s="9" t="s">
        <v>595</v>
      </c>
      <c r="B2" s="9"/>
      <c r="C2" s="9"/>
      <c r="D2" s="9"/>
      <c r="E2" s="9"/>
      <c r="F2" s="9"/>
      <c r="G2" s="9"/>
      <c r="H2" s="9"/>
      <c r="I2" s="9"/>
      <c r="J2" s="9"/>
      <c r="K2" s="9"/>
      <c r="L2" s="9"/>
      <c r="M2" s="9"/>
      <c r="N2" s="9"/>
      <c r="O2" s="9"/>
      <c r="P2" s="9"/>
      <c r="Q2" s="9"/>
      <c r="R2" s="9"/>
      <c r="S2" s="9"/>
      <c r="T2" s="9"/>
      <c r="U2" s="9"/>
      <c r="V2" s="9"/>
      <c r="W2" s="9"/>
      <c r="X2" s="9"/>
      <c r="Y2" s="9"/>
    </row>
    <row r="3" spans="1:25" x14ac:dyDescent="0.3">
      <c r="A3" s="5"/>
      <c r="B3" s="5"/>
      <c r="C3" s="5"/>
      <c r="D3" s="5"/>
      <c r="E3" s="5"/>
      <c r="F3" s="5"/>
      <c r="G3" s="5"/>
      <c r="H3" s="5"/>
      <c r="I3" s="5"/>
      <c r="J3" s="5"/>
      <c r="K3" s="5"/>
      <c r="L3" s="5"/>
      <c r="M3" s="5"/>
      <c r="N3" s="5"/>
      <c r="O3" s="5"/>
      <c r="P3" s="5"/>
      <c r="Q3" s="5"/>
      <c r="R3" s="5"/>
      <c r="S3" s="5"/>
      <c r="T3" s="5"/>
      <c r="U3" s="5"/>
      <c r="V3" s="5"/>
      <c r="W3" s="5"/>
      <c r="X3" s="5"/>
      <c r="Y3" s="5" t="s">
        <v>2</v>
      </c>
    </row>
    <row r="4" spans="1:25" ht="36" customHeight="1" x14ac:dyDescent="0.3">
      <c r="A4" s="10" t="s">
        <v>3</v>
      </c>
      <c r="B4" s="10" t="s">
        <v>4</v>
      </c>
      <c r="C4" s="10" t="s">
        <v>5</v>
      </c>
      <c r="D4" s="10" t="s">
        <v>382</v>
      </c>
      <c r="E4" s="10" t="s">
        <v>383</v>
      </c>
      <c r="F4" s="10" t="s">
        <v>7</v>
      </c>
      <c r="G4" s="10" t="s">
        <v>312</v>
      </c>
      <c r="H4" s="10" t="s">
        <v>8</v>
      </c>
      <c r="I4" s="10"/>
      <c r="J4" s="10"/>
      <c r="K4" s="10"/>
      <c r="L4" s="10" t="s">
        <v>596</v>
      </c>
      <c r="M4" s="10" t="s">
        <v>314</v>
      </c>
      <c r="N4" s="10"/>
      <c r="O4" s="10" t="s">
        <v>315</v>
      </c>
      <c r="P4" s="10"/>
      <c r="Q4" s="1" t="s">
        <v>597</v>
      </c>
      <c r="R4" s="1" t="s">
        <v>598</v>
      </c>
      <c r="S4" s="10" t="s">
        <v>599</v>
      </c>
      <c r="T4" s="10"/>
      <c r="U4" s="10" t="s">
        <v>600</v>
      </c>
      <c r="V4" s="10" t="s">
        <v>384</v>
      </c>
      <c r="W4" s="10" t="s">
        <v>18</v>
      </c>
      <c r="X4" s="10" t="s">
        <v>19</v>
      </c>
      <c r="Y4" s="10" t="s">
        <v>22</v>
      </c>
    </row>
    <row r="5" spans="1:25" ht="36" customHeight="1" x14ac:dyDescent="0.3">
      <c r="A5" s="10"/>
      <c r="B5" s="10"/>
      <c r="C5" s="10"/>
      <c r="D5" s="10"/>
      <c r="E5" s="10"/>
      <c r="F5" s="10"/>
      <c r="G5" s="10"/>
      <c r="H5" s="1" t="s">
        <v>26</v>
      </c>
      <c r="I5" s="1" t="s">
        <v>27</v>
      </c>
      <c r="J5" s="1" t="s">
        <v>28</v>
      </c>
      <c r="K5" s="1" t="s">
        <v>29</v>
      </c>
      <c r="L5" s="10"/>
      <c r="M5" s="1" t="s">
        <v>324</v>
      </c>
      <c r="N5" s="1" t="s">
        <v>325</v>
      </c>
      <c r="O5" s="1" t="s">
        <v>324</v>
      </c>
      <c r="P5" s="1" t="s">
        <v>325</v>
      </c>
      <c r="Q5" s="1" t="s">
        <v>326</v>
      </c>
      <c r="R5" s="1" t="s">
        <v>326</v>
      </c>
      <c r="S5" s="1" t="s">
        <v>327</v>
      </c>
      <c r="T5" s="1" t="s">
        <v>32</v>
      </c>
      <c r="U5" s="10"/>
      <c r="V5" s="10"/>
      <c r="W5" s="10"/>
      <c r="X5" s="10"/>
      <c r="Y5" s="10"/>
    </row>
    <row r="6" spans="1:25" ht="24" customHeight="1" x14ac:dyDescent="0.3">
      <c r="A6" s="2" t="s">
        <v>276</v>
      </c>
      <c r="B6" s="11" t="s">
        <v>55</v>
      </c>
      <c r="C6" s="11" t="s">
        <v>40</v>
      </c>
      <c r="D6" s="2" t="s">
        <v>2</v>
      </c>
      <c r="E6" s="2" t="s">
        <v>2</v>
      </c>
      <c r="F6" s="2" t="s">
        <v>2</v>
      </c>
      <c r="G6" s="2" t="s">
        <v>2</v>
      </c>
      <c r="H6" s="2" t="s">
        <v>2</v>
      </c>
      <c r="I6" s="2" t="s">
        <v>2</v>
      </c>
      <c r="J6" s="2" t="s">
        <v>2</v>
      </c>
      <c r="K6" s="2" t="s">
        <v>2</v>
      </c>
      <c r="L6" s="2" t="s">
        <v>2</v>
      </c>
      <c r="M6" s="4">
        <v>1937004</v>
      </c>
      <c r="N6" s="4">
        <v>15586335</v>
      </c>
      <c r="O6" s="4">
        <v>1937004</v>
      </c>
      <c r="P6" s="4">
        <v>15586335</v>
      </c>
      <c r="Q6" s="4">
        <v>12410265</v>
      </c>
      <c r="R6" s="4">
        <f t="shared" ref="R6:R9" si="0">P6-Q6</f>
        <v>3176070</v>
      </c>
      <c r="S6" s="4" t="s">
        <v>601</v>
      </c>
      <c r="T6" s="4" t="s">
        <v>602</v>
      </c>
      <c r="U6" s="2" t="s">
        <v>2</v>
      </c>
      <c r="V6" s="2" t="s">
        <v>2</v>
      </c>
      <c r="W6" s="2" t="s">
        <v>2</v>
      </c>
      <c r="X6" s="2" t="s">
        <v>2</v>
      </c>
      <c r="Y6" s="2" t="s">
        <v>2</v>
      </c>
    </row>
    <row r="7" spans="1:25" ht="24" customHeight="1" x14ac:dyDescent="0.3">
      <c r="A7" s="2" t="s">
        <v>46</v>
      </c>
      <c r="B7" s="11"/>
      <c r="C7" s="11" t="s">
        <v>603</v>
      </c>
      <c r="D7" s="2" t="s">
        <v>604</v>
      </c>
      <c r="E7" s="2" t="s">
        <v>605</v>
      </c>
      <c r="F7" s="2" t="s">
        <v>606</v>
      </c>
      <c r="G7" s="2" t="s">
        <v>2</v>
      </c>
      <c r="H7" s="2" t="s">
        <v>2</v>
      </c>
      <c r="I7" s="2" t="s">
        <v>2</v>
      </c>
      <c r="J7" s="2" t="s">
        <v>607</v>
      </c>
      <c r="K7" s="2" t="s">
        <v>2</v>
      </c>
      <c r="L7" s="2" t="s">
        <v>329</v>
      </c>
      <c r="M7" s="4">
        <v>295670</v>
      </c>
      <c r="N7" s="4">
        <v>5270000</v>
      </c>
      <c r="O7" s="4">
        <v>295670</v>
      </c>
      <c r="P7" s="4">
        <v>5270000</v>
      </c>
      <c r="Q7" s="4">
        <v>5241276</v>
      </c>
      <c r="R7" s="4">
        <f t="shared" si="0"/>
        <v>28724</v>
      </c>
      <c r="S7" s="4">
        <v>52939</v>
      </c>
      <c r="T7" s="4">
        <v>66174</v>
      </c>
      <c r="U7" s="2" t="s">
        <v>608</v>
      </c>
      <c r="V7" s="2" t="s">
        <v>609</v>
      </c>
      <c r="W7" s="2" t="s">
        <v>125</v>
      </c>
      <c r="X7" s="2" t="s">
        <v>2</v>
      </c>
      <c r="Y7" s="2" t="s">
        <v>2</v>
      </c>
    </row>
    <row r="8" spans="1:25" ht="24" customHeight="1" x14ac:dyDescent="0.3">
      <c r="A8" s="2" t="s">
        <v>49</v>
      </c>
      <c r="B8" s="11"/>
      <c r="C8" s="11" t="s">
        <v>68</v>
      </c>
      <c r="D8" s="2" t="s">
        <v>610</v>
      </c>
      <c r="E8" s="2" t="s">
        <v>488</v>
      </c>
      <c r="F8" s="2" t="s">
        <v>611</v>
      </c>
      <c r="G8" s="2" t="s">
        <v>2</v>
      </c>
      <c r="H8" s="2" t="s">
        <v>2</v>
      </c>
      <c r="I8" s="2" t="s">
        <v>2</v>
      </c>
      <c r="J8" s="2" t="s">
        <v>612</v>
      </c>
      <c r="K8" s="2" t="s">
        <v>2</v>
      </c>
      <c r="L8" s="2" t="s">
        <v>329</v>
      </c>
      <c r="M8" s="4">
        <v>1412359</v>
      </c>
      <c r="N8" s="4">
        <v>7840000</v>
      </c>
      <c r="O8" s="4">
        <v>1412359</v>
      </c>
      <c r="P8" s="4">
        <v>7840000</v>
      </c>
      <c r="Q8" s="4">
        <v>6403812</v>
      </c>
      <c r="R8" s="4">
        <f t="shared" si="0"/>
        <v>1436188</v>
      </c>
      <c r="S8" s="4" t="s">
        <v>613</v>
      </c>
      <c r="T8" s="4" t="s">
        <v>614</v>
      </c>
      <c r="U8" s="2" t="s">
        <v>361</v>
      </c>
      <c r="V8" s="2" t="s">
        <v>615</v>
      </c>
      <c r="W8" s="2" t="s">
        <v>616</v>
      </c>
      <c r="X8" s="2" t="s">
        <v>2</v>
      </c>
      <c r="Y8" s="2" t="s">
        <v>617</v>
      </c>
    </row>
    <row r="9" spans="1:25" ht="24" customHeight="1" x14ac:dyDescent="0.3">
      <c r="A9" s="2" t="s">
        <v>50</v>
      </c>
      <c r="B9" s="11"/>
      <c r="C9" s="11"/>
      <c r="D9" s="2" t="s">
        <v>610</v>
      </c>
      <c r="E9" s="2" t="s">
        <v>488</v>
      </c>
      <c r="F9" s="2" t="s">
        <v>618</v>
      </c>
      <c r="G9" s="2" t="s">
        <v>2</v>
      </c>
      <c r="H9" s="2" t="s">
        <v>2</v>
      </c>
      <c r="I9" s="2" t="s">
        <v>2</v>
      </c>
      <c r="J9" s="2" t="s">
        <v>612</v>
      </c>
      <c r="K9" s="2" t="s">
        <v>2</v>
      </c>
      <c r="L9" s="2" t="s">
        <v>329</v>
      </c>
      <c r="M9" s="4">
        <v>228975</v>
      </c>
      <c r="N9" s="4">
        <v>2476335</v>
      </c>
      <c r="O9" s="4">
        <v>228975</v>
      </c>
      <c r="P9" s="4">
        <v>2476335</v>
      </c>
      <c r="Q9" s="4">
        <v>765177</v>
      </c>
      <c r="R9" s="4">
        <f t="shared" si="0"/>
        <v>1711158</v>
      </c>
      <c r="S9" s="4" t="s">
        <v>619</v>
      </c>
      <c r="T9" s="4" t="s">
        <v>620</v>
      </c>
      <c r="U9" s="2" t="s">
        <v>621</v>
      </c>
      <c r="V9" s="2" t="s">
        <v>622</v>
      </c>
      <c r="W9" s="2" t="s">
        <v>623</v>
      </c>
      <c r="X9" s="2" t="s">
        <v>2</v>
      </c>
      <c r="Y9" s="2" t="s">
        <v>617</v>
      </c>
    </row>
  </sheetData>
  <autoFilter ref="A5:Y5" xr:uid="{00000000-0009-0000-0000-000006000000}"/>
  <mergeCells count="23">
    <mergeCell ref="W4:W5"/>
    <mergeCell ref="X4:X5"/>
    <mergeCell ref="Y4:Y5"/>
    <mergeCell ref="B6:B9"/>
    <mergeCell ref="C6"/>
    <mergeCell ref="C7"/>
    <mergeCell ref="C8:C9"/>
    <mergeCell ref="A1:Y1"/>
    <mergeCell ref="A2:Y2"/>
    <mergeCell ref="A4:A5"/>
    <mergeCell ref="B4:B5"/>
    <mergeCell ref="C4:C5"/>
    <mergeCell ref="D4:D5"/>
    <mergeCell ref="E4:E5"/>
    <mergeCell ref="F4:F5"/>
    <mergeCell ref="G4:G5"/>
    <mergeCell ref="H4:K4"/>
    <mergeCell ref="L4:L5"/>
    <mergeCell ref="M4:N4"/>
    <mergeCell ref="O4:P4"/>
    <mergeCell ref="S4:T4"/>
    <mergeCell ref="U4:U5"/>
    <mergeCell ref="V4:V5"/>
  </mergeCells>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6"/>
  <sheetViews>
    <sheetView workbookViewId="0">
      <selection sqref="A1:W1"/>
    </sheetView>
  </sheetViews>
  <sheetFormatPr defaultRowHeight="16.5" x14ac:dyDescent="0.3"/>
  <cols>
    <col min="1" max="1" width="6" customWidth="1"/>
    <col min="2" max="3" width="12.625" customWidth="1"/>
    <col min="4" max="4" width="20.75" customWidth="1"/>
    <col min="5" max="5" width="13.375" customWidth="1"/>
    <col min="6" max="6" width="22.25" customWidth="1"/>
    <col min="7" max="8" width="10.375" customWidth="1"/>
    <col min="9" max="9" width="20.75" customWidth="1"/>
    <col min="10" max="10" width="17.875" customWidth="1"/>
    <col min="11" max="12" width="10.375" customWidth="1"/>
    <col min="13" max="13" width="20.75" customWidth="1"/>
    <col min="14" max="14" width="17.875" customWidth="1"/>
    <col min="15" max="16" width="10.375" customWidth="1"/>
    <col min="17" max="17" width="20.75" customWidth="1"/>
    <col min="18" max="18" width="17.875" customWidth="1"/>
    <col min="19" max="19" width="14.875" customWidth="1"/>
    <col min="20" max="20" width="12.75" customWidth="1"/>
    <col min="21" max="23" width="11.875" customWidth="1"/>
  </cols>
  <sheetData>
    <row r="1" spans="1:23" ht="18.75" x14ac:dyDescent="0.3">
      <c r="A1" s="8" t="s">
        <v>625</v>
      </c>
      <c r="B1" s="8"/>
      <c r="C1" s="8"/>
      <c r="D1" s="8"/>
      <c r="E1" s="8"/>
      <c r="F1" s="8"/>
      <c r="G1" s="8"/>
      <c r="H1" s="8"/>
      <c r="I1" s="8"/>
      <c r="J1" s="8"/>
      <c r="K1" s="8"/>
      <c r="L1" s="8"/>
      <c r="M1" s="8"/>
      <c r="N1" s="8"/>
      <c r="O1" s="8"/>
      <c r="P1" s="8"/>
      <c r="Q1" s="8"/>
      <c r="R1" s="8"/>
      <c r="S1" s="8"/>
      <c r="T1" s="8"/>
      <c r="U1" s="8"/>
      <c r="V1" s="8"/>
      <c r="W1" s="8"/>
    </row>
    <row r="2" spans="1:23" x14ac:dyDescent="0.3">
      <c r="A2" s="9" t="s">
        <v>626</v>
      </c>
      <c r="B2" s="9"/>
      <c r="C2" s="9"/>
      <c r="D2" s="9"/>
      <c r="E2" s="9"/>
      <c r="F2" s="9"/>
      <c r="G2" s="9"/>
      <c r="H2" s="9"/>
      <c r="I2" s="9"/>
      <c r="J2" s="9"/>
      <c r="K2" s="9"/>
      <c r="L2" s="9"/>
      <c r="M2" s="9"/>
      <c r="N2" s="9"/>
      <c r="O2" s="9"/>
      <c r="P2" s="9"/>
      <c r="Q2" s="9"/>
      <c r="R2" s="9"/>
      <c r="S2" s="9"/>
      <c r="T2" s="9"/>
      <c r="U2" s="9"/>
      <c r="V2" s="9"/>
      <c r="W2" s="9"/>
    </row>
    <row r="3" spans="1:23" x14ac:dyDescent="0.3">
      <c r="A3" s="5"/>
      <c r="B3" s="5"/>
      <c r="C3" s="5"/>
      <c r="D3" s="5"/>
      <c r="E3" s="5"/>
      <c r="F3" s="5"/>
      <c r="G3" s="5"/>
      <c r="H3" s="5"/>
      <c r="I3" s="5"/>
      <c r="J3" s="5"/>
      <c r="K3" s="5"/>
      <c r="L3" s="5"/>
      <c r="M3" s="5"/>
      <c r="N3" s="5"/>
      <c r="O3" s="5"/>
      <c r="P3" s="5"/>
      <c r="Q3" s="5"/>
      <c r="R3" s="5"/>
      <c r="S3" s="5"/>
      <c r="T3" s="5"/>
      <c r="U3" s="5"/>
      <c r="V3" s="5"/>
      <c r="W3" s="5" t="s">
        <v>2</v>
      </c>
    </row>
    <row r="4" spans="1:23" ht="36" customHeight="1" x14ac:dyDescent="0.3">
      <c r="A4" s="10" t="s">
        <v>3</v>
      </c>
      <c r="B4" s="10" t="s">
        <v>4</v>
      </c>
      <c r="C4" s="10" t="s">
        <v>5</v>
      </c>
      <c r="D4" s="10" t="s">
        <v>382</v>
      </c>
      <c r="E4" s="10" t="s">
        <v>383</v>
      </c>
      <c r="F4" s="10" t="s">
        <v>7</v>
      </c>
      <c r="G4" s="10" t="s">
        <v>627</v>
      </c>
      <c r="H4" s="10"/>
      <c r="I4" s="10"/>
      <c r="J4" s="10"/>
      <c r="K4" s="10" t="s">
        <v>628</v>
      </c>
      <c r="L4" s="10"/>
      <c r="M4" s="10"/>
      <c r="N4" s="10"/>
      <c r="O4" s="10" t="s">
        <v>629</v>
      </c>
      <c r="P4" s="10"/>
      <c r="Q4" s="10"/>
      <c r="R4" s="10"/>
      <c r="S4" s="1" t="s">
        <v>630</v>
      </c>
      <c r="T4" s="10" t="s">
        <v>384</v>
      </c>
      <c r="U4" s="10" t="s">
        <v>18</v>
      </c>
      <c r="V4" s="10" t="s">
        <v>19</v>
      </c>
      <c r="W4" s="10" t="s">
        <v>22</v>
      </c>
    </row>
    <row r="5" spans="1:23" ht="48" customHeight="1" x14ac:dyDescent="0.3">
      <c r="A5" s="10"/>
      <c r="B5" s="10"/>
      <c r="C5" s="10"/>
      <c r="D5" s="10"/>
      <c r="E5" s="10"/>
      <c r="F5" s="10"/>
      <c r="G5" s="1" t="s">
        <v>26</v>
      </c>
      <c r="H5" s="1" t="s">
        <v>196</v>
      </c>
      <c r="I5" s="1" t="s">
        <v>27</v>
      </c>
      <c r="J5" s="1" t="s">
        <v>28</v>
      </c>
      <c r="K5" s="1" t="s">
        <v>26</v>
      </c>
      <c r="L5" s="1" t="s">
        <v>196</v>
      </c>
      <c r="M5" s="1" t="s">
        <v>27</v>
      </c>
      <c r="N5" s="1" t="s">
        <v>28</v>
      </c>
      <c r="O5" s="1" t="s">
        <v>26</v>
      </c>
      <c r="P5" s="1" t="s">
        <v>196</v>
      </c>
      <c r="Q5" s="1" t="s">
        <v>27</v>
      </c>
      <c r="R5" s="1" t="s">
        <v>28</v>
      </c>
      <c r="S5" s="1" t="s">
        <v>32</v>
      </c>
      <c r="T5" s="10"/>
      <c r="U5" s="10"/>
      <c r="V5" s="10"/>
      <c r="W5" s="10"/>
    </row>
    <row r="6" spans="1:23" ht="24" customHeight="1" x14ac:dyDescent="0.3">
      <c r="A6" s="2" t="s">
        <v>1105</v>
      </c>
      <c r="B6" s="11" t="s">
        <v>55</v>
      </c>
      <c r="C6" s="11" t="s">
        <v>40</v>
      </c>
      <c r="D6" s="2" t="s">
        <v>2</v>
      </c>
      <c r="E6" s="2" t="s">
        <v>2</v>
      </c>
      <c r="F6" s="2" t="s">
        <v>2</v>
      </c>
      <c r="G6" s="2" t="s">
        <v>2</v>
      </c>
      <c r="H6" s="2" t="s">
        <v>2</v>
      </c>
      <c r="I6" s="2" t="s">
        <v>2</v>
      </c>
      <c r="J6" s="2" t="s">
        <v>2</v>
      </c>
      <c r="K6" s="3">
        <v>504</v>
      </c>
      <c r="L6" s="3">
        <v>112</v>
      </c>
      <c r="M6" s="3">
        <v>629</v>
      </c>
      <c r="N6" s="3">
        <v>1152</v>
      </c>
      <c r="O6" s="4">
        <v>2405.6</v>
      </c>
      <c r="P6" s="4">
        <v>603.1</v>
      </c>
      <c r="Q6" s="4">
        <v>13515.2</v>
      </c>
      <c r="R6" s="4">
        <v>12951</v>
      </c>
      <c r="S6" s="4">
        <v>4131445.7</v>
      </c>
      <c r="T6" s="2" t="s">
        <v>2</v>
      </c>
      <c r="U6" s="2" t="s">
        <v>2</v>
      </c>
      <c r="V6" s="2" t="s">
        <v>2</v>
      </c>
      <c r="W6" s="2" t="s">
        <v>2</v>
      </c>
    </row>
    <row r="7" spans="1:23" ht="24" customHeight="1" x14ac:dyDescent="0.3">
      <c r="A7" s="2" t="s">
        <v>46</v>
      </c>
      <c r="B7" s="11"/>
      <c r="C7" s="11" t="s">
        <v>182</v>
      </c>
      <c r="D7" s="2" t="s">
        <v>1106</v>
      </c>
      <c r="E7" s="2" t="s">
        <v>1107</v>
      </c>
      <c r="F7" s="2" t="s">
        <v>1108</v>
      </c>
      <c r="G7" s="2" t="s">
        <v>2</v>
      </c>
      <c r="H7" s="2" t="s">
        <v>2</v>
      </c>
      <c r="I7" s="2" t="s">
        <v>1109</v>
      </c>
      <c r="J7" s="2" t="s">
        <v>2</v>
      </c>
      <c r="K7" s="3">
        <v>0</v>
      </c>
      <c r="L7" s="3">
        <v>0</v>
      </c>
      <c r="M7" s="3">
        <v>3</v>
      </c>
      <c r="N7" s="3">
        <v>0</v>
      </c>
      <c r="O7" s="4">
        <v>0</v>
      </c>
      <c r="P7" s="4">
        <v>0</v>
      </c>
      <c r="Q7" s="4">
        <v>31</v>
      </c>
      <c r="R7" s="4">
        <v>0</v>
      </c>
      <c r="S7" s="4">
        <v>1947.3</v>
      </c>
      <c r="T7" s="2" t="s">
        <v>1110</v>
      </c>
      <c r="U7" s="2" t="s">
        <v>965</v>
      </c>
      <c r="V7" s="2" t="s">
        <v>2</v>
      </c>
      <c r="W7" s="2" t="s">
        <v>2</v>
      </c>
    </row>
    <row r="8" spans="1:23" ht="24" customHeight="1" x14ac:dyDescent="0.3">
      <c r="A8" s="2" t="s">
        <v>46</v>
      </c>
      <c r="B8" s="11"/>
      <c r="C8" s="11"/>
      <c r="D8" s="2" t="s">
        <v>1106</v>
      </c>
      <c r="E8" s="2" t="s">
        <v>1107</v>
      </c>
      <c r="F8" s="2" t="s">
        <v>1108</v>
      </c>
      <c r="G8" s="2" t="s">
        <v>2</v>
      </c>
      <c r="H8" s="2" t="s">
        <v>2</v>
      </c>
      <c r="I8" s="2" t="s">
        <v>2</v>
      </c>
      <c r="J8" s="2" t="s">
        <v>1111</v>
      </c>
      <c r="K8" s="3">
        <v>0</v>
      </c>
      <c r="L8" s="3">
        <v>0</v>
      </c>
      <c r="M8" s="3">
        <v>0</v>
      </c>
      <c r="N8" s="3">
        <v>2</v>
      </c>
      <c r="O8" s="4">
        <v>0</v>
      </c>
      <c r="P8" s="4">
        <v>0</v>
      </c>
      <c r="Q8" s="4">
        <v>0</v>
      </c>
      <c r="R8" s="4">
        <v>25.5</v>
      </c>
      <c r="S8" s="4">
        <v>85.4</v>
      </c>
      <c r="T8" s="2" t="s">
        <v>1110</v>
      </c>
      <c r="U8" s="2" t="s">
        <v>1112</v>
      </c>
      <c r="V8" s="2" t="s">
        <v>2</v>
      </c>
      <c r="W8" s="2" t="s">
        <v>2</v>
      </c>
    </row>
    <row r="9" spans="1:23" ht="24" customHeight="1" x14ac:dyDescent="0.3">
      <c r="A9" s="2" t="s">
        <v>49</v>
      </c>
      <c r="B9" s="11"/>
      <c r="C9" s="11"/>
      <c r="D9" s="2" t="s">
        <v>1113</v>
      </c>
      <c r="E9" s="2" t="s">
        <v>1114</v>
      </c>
      <c r="F9" s="2" t="s">
        <v>1115</v>
      </c>
      <c r="G9" s="2" t="s">
        <v>2</v>
      </c>
      <c r="H9" s="2" t="s">
        <v>2</v>
      </c>
      <c r="I9" s="2" t="s">
        <v>2</v>
      </c>
      <c r="J9" s="2" t="s">
        <v>1116</v>
      </c>
      <c r="K9" s="3">
        <v>0</v>
      </c>
      <c r="L9" s="3">
        <v>0</v>
      </c>
      <c r="M9" s="3">
        <v>0</v>
      </c>
      <c r="N9" s="3">
        <v>2</v>
      </c>
      <c r="O9" s="4">
        <v>0</v>
      </c>
      <c r="P9" s="4">
        <v>0</v>
      </c>
      <c r="Q9" s="4">
        <v>0</v>
      </c>
      <c r="R9" s="4">
        <v>25</v>
      </c>
      <c r="S9" s="4">
        <v>15064.5</v>
      </c>
      <c r="T9" s="2" t="s">
        <v>1117</v>
      </c>
      <c r="U9" s="2" t="s">
        <v>1118</v>
      </c>
      <c r="V9" s="2" t="s">
        <v>2</v>
      </c>
      <c r="W9" s="2" t="s">
        <v>2</v>
      </c>
    </row>
    <row r="10" spans="1:23" ht="24" customHeight="1" x14ac:dyDescent="0.3">
      <c r="A10" s="2" t="s">
        <v>50</v>
      </c>
      <c r="B10" s="11"/>
      <c r="C10" s="11"/>
      <c r="D10" s="2" t="s">
        <v>1119</v>
      </c>
      <c r="E10" s="2" t="s">
        <v>1120</v>
      </c>
      <c r="F10" s="2" t="s">
        <v>1121</v>
      </c>
      <c r="G10" s="2" t="s">
        <v>2</v>
      </c>
      <c r="H10" s="2" t="s">
        <v>2</v>
      </c>
      <c r="I10" s="2" t="s">
        <v>2</v>
      </c>
      <c r="J10" s="2" t="s">
        <v>1122</v>
      </c>
      <c r="K10" s="3">
        <v>0</v>
      </c>
      <c r="L10" s="3">
        <v>0</v>
      </c>
      <c r="M10" s="3">
        <v>0</v>
      </c>
      <c r="N10" s="3">
        <v>2</v>
      </c>
      <c r="O10" s="4">
        <v>0</v>
      </c>
      <c r="P10" s="4">
        <v>0</v>
      </c>
      <c r="Q10" s="4">
        <v>0</v>
      </c>
      <c r="R10" s="4">
        <v>24.6</v>
      </c>
      <c r="S10" s="4">
        <v>0</v>
      </c>
      <c r="T10" s="2" t="s">
        <v>1123</v>
      </c>
      <c r="U10" s="2" t="s">
        <v>1124</v>
      </c>
      <c r="V10" s="2" t="s">
        <v>2</v>
      </c>
      <c r="W10" s="2" t="s">
        <v>992</v>
      </c>
    </row>
    <row r="11" spans="1:23" ht="24" customHeight="1" x14ac:dyDescent="0.3">
      <c r="A11" s="2" t="s">
        <v>51</v>
      </c>
      <c r="B11" s="11"/>
      <c r="C11" s="11"/>
      <c r="D11" s="2" t="s">
        <v>1125</v>
      </c>
      <c r="E11" s="2" t="s">
        <v>1126</v>
      </c>
      <c r="F11" s="2" t="s">
        <v>1127</v>
      </c>
      <c r="G11" s="2" t="s">
        <v>26</v>
      </c>
      <c r="H11" s="2" t="s">
        <v>196</v>
      </c>
      <c r="I11" s="2" t="s">
        <v>2</v>
      </c>
      <c r="J11" s="2" t="s">
        <v>2</v>
      </c>
      <c r="K11" s="3">
        <v>12</v>
      </c>
      <c r="L11" s="3">
        <v>2</v>
      </c>
      <c r="M11" s="3">
        <v>0</v>
      </c>
      <c r="N11" s="3">
        <v>0</v>
      </c>
      <c r="O11" s="4">
        <v>42.8</v>
      </c>
      <c r="P11" s="4">
        <v>15.4</v>
      </c>
      <c r="Q11" s="4">
        <v>0</v>
      </c>
      <c r="R11" s="4">
        <v>0</v>
      </c>
      <c r="S11" s="4">
        <v>10905.2</v>
      </c>
      <c r="T11" s="2" t="s">
        <v>1128</v>
      </c>
      <c r="U11" s="2" t="s">
        <v>491</v>
      </c>
      <c r="V11" s="2" t="s">
        <v>2</v>
      </c>
      <c r="W11" s="2" t="s">
        <v>2</v>
      </c>
    </row>
    <row r="12" spans="1:23" ht="24" customHeight="1" x14ac:dyDescent="0.3">
      <c r="A12" s="2" t="s">
        <v>52</v>
      </c>
      <c r="B12" s="11"/>
      <c r="C12" s="11"/>
      <c r="D12" s="2" t="s">
        <v>1129</v>
      </c>
      <c r="E12" s="2" t="s">
        <v>1130</v>
      </c>
      <c r="F12" s="2" t="s">
        <v>1131</v>
      </c>
      <c r="G12" s="2" t="s">
        <v>26</v>
      </c>
      <c r="H12" s="2" t="s">
        <v>196</v>
      </c>
      <c r="I12" s="2" t="s">
        <v>2</v>
      </c>
      <c r="J12" s="2" t="s">
        <v>2</v>
      </c>
      <c r="K12" s="3">
        <v>42</v>
      </c>
      <c r="L12" s="3">
        <v>8</v>
      </c>
      <c r="M12" s="3">
        <v>0</v>
      </c>
      <c r="N12" s="3">
        <v>0</v>
      </c>
      <c r="O12" s="4">
        <v>157.5</v>
      </c>
      <c r="P12" s="4">
        <v>44</v>
      </c>
      <c r="Q12" s="4">
        <v>0</v>
      </c>
      <c r="R12" s="4">
        <v>0</v>
      </c>
      <c r="S12" s="4">
        <v>42084</v>
      </c>
      <c r="T12" s="2" t="s">
        <v>1132</v>
      </c>
      <c r="U12" s="2" t="s">
        <v>1133</v>
      </c>
      <c r="V12" s="2" t="s">
        <v>2</v>
      </c>
      <c r="W12" s="2" t="s">
        <v>2</v>
      </c>
    </row>
    <row r="13" spans="1:23" ht="24" customHeight="1" x14ac:dyDescent="0.3">
      <c r="A13" s="2" t="s">
        <v>77</v>
      </c>
      <c r="B13" s="11"/>
      <c r="C13" s="11"/>
      <c r="D13" s="2" t="s">
        <v>1054</v>
      </c>
      <c r="E13" s="2" t="s">
        <v>1134</v>
      </c>
      <c r="F13" s="2" t="s">
        <v>1135</v>
      </c>
      <c r="G13" s="2" t="s">
        <v>2</v>
      </c>
      <c r="H13" s="2" t="s">
        <v>2</v>
      </c>
      <c r="I13" s="2" t="s">
        <v>2</v>
      </c>
      <c r="J13" s="2" t="s">
        <v>1136</v>
      </c>
      <c r="K13" s="3">
        <v>0</v>
      </c>
      <c r="L13" s="3">
        <v>0</v>
      </c>
      <c r="M13" s="3">
        <v>0</v>
      </c>
      <c r="N13" s="3">
        <v>6</v>
      </c>
      <c r="O13" s="4">
        <v>0</v>
      </c>
      <c r="P13" s="4">
        <v>0</v>
      </c>
      <c r="Q13" s="4">
        <v>0</v>
      </c>
      <c r="R13" s="4">
        <v>126.5</v>
      </c>
      <c r="S13" s="4">
        <v>21117.4</v>
      </c>
      <c r="T13" s="2" t="s">
        <v>1137</v>
      </c>
      <c r="U13" s="2" t="s">
        <v>1138</v>
      </c>
      <c r="V13" s="2" t="s">
        <v>2</v>
      </c>
      <c r="W13" s="2" t="s">
        <v>2</v>
      </c>
    </row>
    <row r="14" spans="1:23" ht="24" customHeight="1" x14ac:dyDescent="0.3">
      <c r="A14" s="2" t="s">
        <v>82</v>
      </c>
      <c r="B14" s="11"/>
      <c r="C14" s="11"/>
      <c r="D14" s="2" t="s">
        <v>1139</v>
      </c>
      <c r="E14" s="2" t="s">
        <v>1140</v>
      </c>
      <c r="F14" s="2" t="s">
        <v>1141</v>
      </c>
      <c r="G14" s="2" t="s">
        <v>2</v>
      </c>
      <c r="H14" s="2" t="s">
        <v>2</v>
      </c>
      <c r="I14" s="2" t="s">
        <v>1142</v>
      </c>
      <c r="J14" s="2" t="s">
        <v>2</v>
      </c>
      <c r="K14" s="3">
        <v>0</v>
      </c>
      <c r="L14" s="3">
        <v>0</v>
      </c>
      <c r="M14" s="3">
        <v>10</v>
      </c>
      <c r="N14" s="3">
        <v>0</v>
      </c>
      <c r="O14" s="4">
        <v>0</v>
      </c>
      <c r="P14" s="4">
        <v>0</v>
      </c>
      <c r="Q14" s="4">
        <v>8703</v>
      </c>
      <c r="R14" s="4">
        <v>0</v>
      </c>
      <c r="S14" s="4">
        <v>15154.9</v>
      </c>
      <c r="T14" s="2" t="s">
        <v>1143</v>
      </c>
      <c r="U14" s="2" t="s">
        <v>1144</v>
      </c>
      <c r="V14" s="2" t="s">
        <v>2</v>
      </c>
      <c r="W14" s="2" t="s">
        <v>2</v>
      </c>
    </row>
    <row r="15" spans="1:23" ht="24" customHeight="1" x14ac:dyDescent="0.3">
      <c r="A15" s="2" t="s">
        <v>82</v>
      </c>
      <c r="B15" s="11"/>
      <c r="C15" s="11"/>
      <c r="D15" s="2" t="s">
        <v>1139</v>
      </c>
      <c r="E15" s="2" t="s">
        <v>1140</v>
      </c>
      <c r="F15" s="2" t="s">
        <v>1141</v>
      </c>
      <c r="G15" s="2" t="s">
        <v>2</v>
      </c>
      <c r="H15" s="2" t="s">
        <v>2</v>
      </c>
      <c r="I15" s="2" t="s">
        <v>2</v>
      </c>
      <c r="J15" s="2" t="s">
        <v>1145</v>
      </c>
      <c r="K15" s="3">
        <v>0</v>
      </c>
      <c r="L15" s="3">
        <v>0</v>
      </c>
      <c r="M15" s="3">
        <v>0</v>
      </c>
      <c r="N15" s="3">
        <v>2</v>
      </c>
      <c r="O15" s="4">
        <v>0</v>
      </c>
      <c r="P15" s="4">
        <v>0</v>
      </c>
      <c r="Q15" s="4">
        <v>0</v>
      </c>
      <c r="R15" s="4">
        <v>23.7</v>
      </c>
      <c r="S15" s="4">
        <v>2491</v>
      </c>
      <c r="T15" s="2" t="s">
        <v>1143</v>
      </c>
      <c r="U15" s="2" t="s">
        <v>641</v>
      </c>
      <c r="V15" s="2" t="s">
        <v>2</v>
      </c>
      <c r="W15" s="2" t="s">
        <v>2</v>
      </c>
    </row>
    <row r="16" spans="1:23" ht="24" customHeight="1" x14ac:dyDescent="0.3">
      <c r="A16" s="2" t="s">
        <v>87</v>
      </c>
      <c r="B16" s="11"/>
      <c r="C16" s="11"/>
      <c r="D16" s="2" t="s">
        <v>1146</v>
      </c>
      <c r="E16" s="2" t="s">
        <v>1147</v>
      </c>
      <c r="F16" s="2" t="s">
        <v>1148</v>
      </c>
      <c r="G16" s="2" t="s">
        <v>2</v>
      </c>
      <c r="H16" s="2" t="s">
        <v>2</v>
      </c>
      <c r="I16" s="2" t="s">
        <v>2</v>
      </c>
      <c r="J16" s="2" t="s">
        <v>1149</v>
      </c>
      <c r="K16" s="3">
        <v>0</v>
      </c>
      <c r="L16" s="3">
        <v>0</v>
      </c>
      <c r="M16" s="3">
        <v>0</v>
      </c>
      <c r="N16" s="3">
        <v>2</v>
      </c>
      <c r="O16" s="4">
        <v>0</v>
      </c>
      <c r="P16" s="4">
        <v>0</v>
      </c>
      <c r="Q16" s="4">
        <v>0</v>
      </c>
      <c r="R16" s="4">
        <v>4.5</v>
      </c>
      <c r="S16" s="4">
        <v>5527</v>
      </c>
      <c r="T16" s="2" t="s">
        <v>1150</v>
      </c>
      <c r="U16" s="2" t="s">
        <v>1151</v>
      </c>
      <c r="V16" s="2" t="s">
        <v>2</v>
      </c>
      <c r="W16" s="2" t="s">
        <v>2</v>
      </c>
    </row>
    <row r="17" spans="1:23" ht="24" customHeight="1" x14ac:dyDescent="0.3">
      <c r="A17" s="2" t="s">
        <v>87</v>
      </c>
      <c r="B17" s="11"/>
      <c r="C17" s="11"/>
      <c r="D17" s="2" t="s">
        <v>1146</v>
      </c>
      <c r="E17" s="2" t="s">
        <v>1147</v>
      </c>
      <c r="F17" s="2" t="s">
        <v>1148</v>
      </c>
      <c r="G17" s="2" t="s">
        <v>2</v>
      </c>
      <c r="H17" s="2" t="s">
        <v>2</v>
      </c>
      <c r="I17" s="2" t="s">
        <v>1152</v>
      </c>
      <c r="J17" s="2" t="s">
        <v>2</v>
      </c>
      <c r="K17" s="3">
        <v>0</v>
      </c>
      <c r="L17" s="3">
        <v>0</v>
      </c>
      <c r="M17" s="3">
        <v>6</v>
      </c>
      <c r="N17" s="3">
        <v>0</v>
      </c>
      <c r="O17" s="4">
        <v>0</v>
      </c>
      <c r="P17" s="4">
        <v>0</v>
      </c>
      <c r="Q17" s="4">
        <v>14.8</v>
      </c>
      <c r="R17" s="4">
        <v>0</v>
      </c>
      <c r="S17" s="4">
        <v>17154.3</v>
      </c>
      <c r="T17" s="2" t="s">
        <v>1150</v>
      </c>
      <c r="U17" s="2" t="s">
        <v>1151</v>
      </c>
      <c r="V17" s="2" t="s">
        <v>2</v>
      </c>
      <c r="W17" s="2" t="s">
        <v>2</v>
      </c>
    </row>
    <row r="18" spans="1:23" ht="24" customHeight="1" x14ac:dyDescent="0.3">
      <c r="A18" s="2" t="s">
        <v>92</v>
      </c>
      <c r="B18" s="11"/>
      <c r="C18" s="11"/>
      <c r="D18" s="2" t="s">
        <v>1153</v>
      </c>
      <c r="E18" s="2" t="s">
        <v>1154</v>
      </c>
      <c r="F18" s="2" t="s">
        <v>1155</v>
      </c>
      <c r="G18" s="2" t="s">
        <v>2</v>
      </c>
      <c r="H18" s="2" t="s">
        <v>2</v>
      </c>
      <c r="I18" s="2" t="s">
        <v>2</v>
      </c>
      <c r="J18" s="2" t="s">
        <v>1156</v>
      </c>
      <c r="K18" s="3">
        <v>0</v>
      </c>
      <c r="L18" s="3">
        <v>0</v>
      </c>
      <c r="M18" s="3">
        <v>0</v>
      </c>
      <c r="N18" s="3">
        <v>3</v>
      </c>
      <c r="O18" s="4">
        <v>0</v>
      </c>
      <c r="P18" s="4">
        <v>0</v>
      </c>
      <c r="Q18" s="4">
        <v>0</v>
      </c>
      <c r="R18" s="4">
        <v>38.1</v>
      </c>
      <c r="S18" s="4">
        <v>5769.8</v>
      </c>
      <c r="T18" s="2" t="s">
        <v>1157</v>
      </c>
      <c r="U18" s="2" t="s">
        <v>1158</v>
      </c>
      <c r="V18" s="2" t="s">
        <v>2</v>
      </c>
      <c r="W18" s="2" t="s">
        <v>2</v>
      </c>
    </row>
    <row r="19" spans="1:23" ht="24" customHeight="1" x14ac:dyDescent="0.3">
      <c r="A19" s="2" t="s">
        <v>96</v>
      </c>
      <c r="B19" s="11"/>
      <c r="C19" s="11"/>
      <c r="D19" s="2" t="s">
        <v>1159</v>
      </c>
      <c r="E19" s="2" t="s">
        <v>1160</v>
      </c>
      <c r="F19" s="2" t="s">
        <v>1161</v>
      </c>
      <c r="G19" s="2" t="s">
        <v>2</v>
      </c>
      <c r="H19" s="2" t="s">
        <v>2</v>
      </c>
      <c r="I19" s="2" t="s">
        <v>1162</v>
      </c>
      <c r="J19" s="2" t="s">
        <v>2</v>
      </c>
      <c r="K19" s="3">
        <v>0</v>
      </c>
      <c r="L19" s="3">
        <v>0</v>
      </c>
      <c r="M19" s="3">
        <v>1</v>
      </c>
      <c r="N19" s="3">
        <v>0</v>
      </c>
      <c r="O19" s="4">
        <v>0</v>
      </c>
      <c r="P19" s="4">
        <v>0</v>
      </c>
      <c r="Q19" s="4">
        <v>1</v>
      </c>
      <c r="R19" s="4">
        <v>0</v>
      </c>
      <c r="S19" s="4">
        <v>0</v>
      </c>
      <c r="T19" s="2" t="s">
        <v>1163</v>
      </c>
      <c r="U19" s="2" t="s">
        <v>1164</v>
      </c>
      <c r="V19" s="2" t="s">
        <v>2</v>
      </c>
      <c r="W19" s="2" t="s">
        <v>2</v>
      </c>
    </row>
    <row r="20" spans="1:23" ht="24" customHeight="1" x14ac:dyDescent="0.3">
      <c r="A20" s="2" t="s">
        <v>102</v>
      </c>
      <c r="B20" s="11"/>
      <c r="C20" s="11"/>
      <c r="D20" s="2" t="s">
        <v>1165</v>
      </c>
      <c r="E20" s="2" t="s">
        <v>1166</v>
      </c>
      <c r="F20" s="2" t="s">
        <v>1167</v>
      </c>
      <c r="G20" s="2" t="s">
        <v>2</v>
      </c>
      <c r="H20" s="2" t="s">
        <v>2</v>
      </c>
      <c r="I20" s="2" t="s">
        <v>1168</v>
      </c>
      <c r="J20" s="2" t="s">
        <v>2</v>
      </c>
      <c r="K20" s="3">
        <v>0</v>
      </c>
      <c r="L20" s="3">
        <v>0</v>
      </c>
      <c r="M20" s="3">
        <v>5</v>
      </c>
      <c r="N20" s="3">
        <v>0</v>
      </c>
      <c r="O20" s="4">
        <v>0</v>
      </c>
      <c r="P20" s="4">
        <v>0</v>
      </c>
      <c r="Q20" s="4">
        <v>12.9</v>
      </c>
      <c r="R20" s="4">
        <v>0</v>
      </c>
      <c r="S20" s="4">
        <v>3289.9</v>
      </c>
      <c r="T20" s="2" t="s">
        <v>2</v>
      </c>
      <c r="U20" s="2" t="s">
        <v>485</v>
      </c>
      <c r="V20" s="2" t="s">
        <v>2</v>
      </c>
      <c r="W20" s="2" t="s">
        <v>2</v>
      </c>
    </row>
    <row r="21" spans="1:23" ht="24" customHeight="1" x14ac:dyDescent="0.3">
      <c r="A21" s="2" t="s">
        <v>104</v>
      </c>
      <c r="B21" s="11"/>
      <c r="C21" s="11"/>
      <c r="D21" s="2" t="s">
        <v>1169</v>
      </c>
      <c r="E21" s="2" t="s">
        <v>1170</v>
      </c>
      <c r="F21" s="2" t="s">
        <v>1171</v>
      </c>
      <c r="G21" s="2" t="s">
        <v>2</v>
      </c>
      <c r="H21" s="2" t="s">
        <v>2</v>
      </c>
      <c r="I21" s="2" t="s">
        <v>2</v>
      </c>
      <c r="J21" s="2" t="s">
        <v>1172</v>
      </c>
      <c r="K21" s="3">
        <v>0</v>
      </c>
      <c r="L21" s="3">
        <v>0</v>
      </c>
      <c r="M21" s="3">
        <v>0</v>
      </c>
      <c r="N21" s="3">
        <v>8</v>
      </c>
      <c r="O21" s="4">
        <v>0</v>
      </c>
      <c r="P21" s="4">
        <v>0</v>
      </c>
      <c r="Q21" s="4">
        <v>0</v>
      </c>
      <c r="R21" s="4">
        <v>208.5</v>
      </c>
      <c r="S21" s="4">
        <v>42092.2</v>
      </c>
      <c r="T21" s="2" t="s">
        <v>1173</v>
      </c>
      <c r="U21" s="2" t="s">
        <v>1174</v>
      </c>
      <c r="V21" s="2" t="s">
        <v>2</v>
      </c>
      <c r="W21" s="2" t="s">
        <v>2</v>
      </c>
    </row>
    <row r="22" spans="1:23" ht="24" customHeight="1" x14ac:dyDescent="0.3">
      <c r="A22" s="2" t="s">
        <v>105</v>
      </c>
      <c r="B22" s="11"/>
      <c r="C22" s="11"/>
      <c r="D22" s="2" t="s">
        <v>1175</v>
      </c>
      <c r="E22" s="2" t="s">
        <v>1176</v>
      </c>
      <c r="F22" s="2" t="s">
        <v>1177</v>
      </c>
      <c r="G22" s="2" t="s">
        <v>2</v>
      </c>
      <c r="H22" s="2" t="s">
        <v>2</v>
      </c>
      <c r="I22" s="2" t="s">
        <v>2</v>
      </c>
      <c r="J22" s="2" t="s">
        <v>1178</v>
      </c>
      <c r="K22" s="3">
        <v>0</v>
      </c>
      <c r="L22" s="3">
        <v>0</v>
      </c>
      <c r="M22" s="3">
        <v>0</v>
      </c>
      <c r="N22" s="3">
        <v>4</v>
      </c>
      <c r="O22" s="4">
        <v>0</v>
      </c>
      <c r="P22" s="4">
        <v>0</v>
      </c>
      <c r="Q22" s="4">
        <v>0</v>
      </c>
      <c r="R22" s="4">
        <v>67.400000000000006</v>
      </c>
      <c r="S22" s="4">
        <v>58043.1</v>
      </c>
      <c r="T22" s="2" t="s">
        <v>1179</v>
      </c>
      <c r="U22" s="2" t="s">
        <v>1180</v>
      </c>
      <c r="V22" s="2" t="s">
        <v>2</v>
      </c>
      <c r="W22" s="2" t="s">
        <v>2</v>
      </c>
    </row>
    <row r="23" spans="1:23" ht="24" customHeight="1" x14ac:dyDescent="0.3">
      <c r="A23" s="2" t="s">
        <v>106</v>
      </c>
      <c r="B23" s="11"/>
      <c r="C23" s="11"/>
      <c r="D23" s="2" t="s">
        <v>1181</v>
      </c>
      <c r="E23" s="2" t="s">
        <v>1182</v>
      </c>
      <c r="F23" s="2" t="s">
        <v>1183</v>
      </c>
      <c r="G23" s="2" t="s">
        <v>2</v>
      </c>
      <c r="H23" s="2" t="s">
        <v>2</v>
      </c>
      <c r="I23" s="2" t="s">
        <v>2</v>
      </c>
      <c r="J23" s="2" t="s">
        <v>1184</v>
      </c>
      <c r="K23" s="3">
        <v>0</v>
      </c>
      <c r="L23" s="3">
        <v>0</v>
      </c>
      <c r="M23" s="3">
        <v>0</v>
      </c>
      <c r="N23" s="3">
        <v>4</v>
      </c>
      <c r="O23" s="4">
        <v>0</v>
      </c>
      <c r="P23" s="4">
        <v>0</v>
      </c>
      <c r="Q23" s="4">
        <v>0</v>
      </c>
      <c r="R23" s="4">
        <v>82.5</v>
      </c>
      <c r="S23" s="4">
        <v>11657.4</v>
      </c>
      <c r="T23" s="2" t="s">
        <v>1185</v>
      </c>
      <c r="U23" s="2" t="s">
        <v>1186</v>
      </c>
      <c r="V23" s="2" t="s">
        <v>2</v>
      </c>
      <c r="W23" s="2" t="s">
        <v>2</v>
      </c>
    </row>
    <row r="24" spans="1:23" ht="24" customHeight="1" x14ac:dyDescent="0.3">
      <c r="A24" s="2" t="s">
        <v>107</v>
      </c>
      <c r="B24" s="11"/>
      <c r="C24" s="11"/>
      <c r="D24" s="2" t="s">
        <v>1187</v>
      </c>
      <c r="E24" s="2" t="s">
        <v>1188</v>
      </c>
      <c r="F24" s="2" t="s">
        <v>1189</v>
      </c>
      <c r="G24" s="2" t="s">
        <v>2</v>
      </c>
      <c r="H24" s="2" t="s">
        <v>2</v>
      </c>
      <c r="I24" s="2" t="s">
        <v>1190</v>
      </c>
      <c r="J24" s="2" t="s">
        <v>2</v>
      </c>
      <c r="K24" s="3">
        <v>0</v>
      </c>
      <c r="L24" s="3">
        <v>0</v>
      </c>
      <c r="M24" s="3">
        <v>3</v>
      </c>
      <c r="N24" s="3">
        <v>0</v>
      </c>
      <c r="O24" s="4">
        <v>0</v>
      </c>
      <c r="P24" s="4">
        <v>0</v>
      </c>
      <c r="Q24" s="4">
        <v>16.8</v>
      </c>
      <c r="R24" s="4">
        <v>0</v>
      </c>
      <c r="S24" s="4">
        <v>58</v>
      </c>
      <c r="T24" s="2" t="s">
        <v>1191</v>
      </c>
      <c r="U24" s="2" t="s">
        <v>1056</v>
      </c>
      <c r="V24" s="2" t="s">
        <v>1192</v>
      </c>
      <c r="W24" s="2" t="s">
        <v>980</v>
      </c>
    </row>
    <row r="25" spans="1:23" ht="24" customHeight="1" x14ac:dyDescent="0.3">
      <c r="A25" s="2" t="s">
        <v>108</v>
      </c>
      <c r="B25" s="11"/>
      <c r="C25" s="11"/>
      <c r="D25" s="2" t="s">
        <v>1193</v>
      </c>
      <c r="E25" s="2" t="s">
        <v>1194</v>
      </c>
      <c r="F25" s="2" t="s">
        <v>1195</v>
      </c>
      <c r="G25" s="2" t="s">
        <v>2</v>
      </c>
      <c r="H25" s="2" t="s">
        <v>2</v>
      </c>
      <c r="I25" s="2" t="s">
        <v>2</v>
      </c>
      <c r="J25" s="2" t="s">
        <v>1196</v>
      </c>
      <c r="K25" s="3">
        <v>0</v>
      </c>
      <c r="L25" s="3">
        <v>0</v>
      </c>
      <c r="M25" s="3">
        <v>0</v>
      </c>
      <c r="N25" s="3">
        <v>3</v>
      </c>
      <c r="O25" s="4">
        <v>0</v>
      </c>
      <c r="P25" s="4">
        <v>0</v>
      </c>
      <c r="Q25" s="4">
        <v>0</v>
      </c>
      <c r="R25" s="4">
        <v>59.9</v>
      </c>
      <c r="S25" s="4">
        <v>0</v>
      </c>
      <c r="T25" s="2" t="s">
        <v>1197</v>
      </c>
      <c r="U25" s="2" t="s">
        <v>1198</v>
      </c>
      <c r="V25" s="2" t="s">
        <v>2</v>
      </c>
      <c r="W25" s="2" t="s">
        <v>992</v>
      </c>
    </row>
    <row r="26" spans="1:23" ht="24" customHeight="1" x14ac:dyDescent="0.3">
      <c r="A26" s="2" t="s">
        <v>109</v>
      </c>
      <c r="B26" s="11"/>
      <c r="C26" s="11"/>
      <c r="D26" s="2" t="s">
        <v>1199</v>
      </c>
      <c r="E26" s="2" t="s">
        <v>1200</v>
      </c>
      <c r="F26" s="2" t="s">
        <v>1201</v>
      </c>
      <c r="G26" s="2" t="s">
        <v>2</v>
      </c>
      <c r="H26" s="2" t="s">
        <v>2</v>
      </c>
      <c r="I26" s="2" t="s">
        <v>1202</v>
      </c>
      <c r="J26" s="2" t="s">
        <v>2</v>
      </c>
      <c r="K26" s="3">
        <v>0</v>
      </c>
      <c r="L26" s="3">
        <v>0</v>
      </c>
      <c r="M26" s="3">
        <v>5</v>
      </c>
      <c r="N26" s="3">
        <v>0</v>
      </c>
      <c r="O26" s="4">
        <v>0</v>
      </c>
      <c r="P26" s="4">
        <v>0</v>
      </c>
      <c r="Q26" s="4">
        <v>12</v>
      </c>
      <c r="R26" s="4">
        <v>0</v>
      </c>
      <c r="S26" s="4">
        <v>16180</v>
      </c>
      <c r="T26" s="2" t="s">
        <v>1203</v>
      </c>
      <c r="U26" s="2" t="s">
        <v>1204</v>
      </c>
      <c r="V26" s="2" t="s">
        <v>2</v>
      </c>
      <c r="W26" s="2" t="s">
        <v>2</v>
      </c>
    </row>
    <row r="27" spans="1:23" ht="24" customHeight="1" x14ac:dyDescent="0.3">
      <c r="A27" s="2" t="s">
        <v>110</v>
      </c>
      <c r="B27" s="11"/>
      <c r="C27" s="11"/>
      <c r="D27" s="2" t="s">
        <v>1205</v>
      </c>
      <c r="E27" s="2" t="s">
        <v>1206</v>
      </c>
      <c r="F27" s="2" t="s">
        <v>1207</v>
      </c>
      <c r="G27" s="2" t="s">
        <v>2</v>
      </c>
      <c r="H27" s="2" t="s">
        <v>2</v>
      </c>
      <c r="I27" s="2" t="s">
        <v>2</v>
      </c>
      <c r="J27" s="2" t="s">
        <v>1208</v>
      </c>
      <c r="K27" s="3">
        <v>0</v>
      </c>
      <c r="L27" s="3">
        <v>0</v>
      </c>
      <c r="M27" s="3">
        <v>0</v>
      </c>
      <c r="N27" s="3">
        <v>3</v>
      </c>
      <c r="O27" s="4">
        <v>0</v>
      </c>
      <c r="P27" s="4">
        <v>0</v>
      </c>
      <c r="Q27" s="4">
        <v>0</v>
      </c>
      <c r="R27" s="4">
        <v>16.7</v>
      </c>
      <c r="S27" s="4">
        <v>0</v>
      </c>
      <c r="T27" s="2" t="s">
        <v>1209</v>
      </c>
      <c r="U27" s="2" t="s">
        <v>1210</v>
      </c>
      <c r="V27" s="2" t="s">
        <v>2</v>
      </c>
      <c r="W27" s="2" t="s">
        <v>2</v>
      </c>
    </row>
    <row r="28" spans="1:23" ht="24" customHeight="1" x14ac:dyDescent="0.3">
      <c r="A28" s="2" t="s">
        <v>111</v>
      </c>
      <c r="B28" s="11"/>
      <c r="C28" s="11"/>
      <c r="D28" s="2" t="s">
        <v>1211</v>
      </c>
      <c r="E28" s="2" t="s">
        <v>1212</v>
      </c>
      <c r="F28" s="2" t="s">
        <v>1213</v>
      </c>
      <c r="G28" s="2" t="s">
        <v>2</v>
      </c>
      <c r="H28" s="2" t="s">
        <v>2</v>
      </c>
      <c r="I28" s="2" t="s">
        <v>1214</v>
      </c>
      <c r="J28" s="2" t="s">
        <v>1215</v>
      </c>
      <c r="K28" s="3">
        <v>0</v>
      </c>
      <c r="L28" s="3">
        <v>0</v>
      </c>
      <c r="M28" s="3">
        <v>4</v>
      </c>
      <c r="N28" s="3">
        <v>2</v>
      </c>
      <c r="O28" s="4">
        <v>0</v>
      </c>
      <c r="P28" s="4">
        <v>0</v>
      </c>
      <c r="Q28" s="4">
        <v>38.1</v>
      </c>
      <c r="R28" s="4">
        <v>23</v>
      </c>
      <c r="S28" s="4">
        <v>0</v>
      </c>
      <c r="T28" s="2" t="s">
        <v>1216</v>
      </c>
      <c r="U28" s="2" t="s">
        <v>1019</v>
      </c>
      <c r="V28" s="2" t="s">
        <v>2</v>
      </c>
      <c r="W28" s="2" t="s">
        <v>992</v>
      </c>
    </row>
    <row r="29" spans="1:23" ht="24" customHeight="1" x14ac:dyDescent="0.3">
      <c r="A29" s="2" t="s">
        <v>112</v>
      </c>
      <c r="B29" s="11"/>
      <c r="C29" s="11"/>
      <c r="D29" s="2" t="s">
        <v>1217</v>
      </c>
      <c r="E29" s="2" t="s">
        <v>1218</v>
      </c>
      <c r="F29" s="2" t="s">
        <v>1219</v>
      </c>
      <c r="G29" s="2" t="s">
        <v>2</v>
      </c>
      <c r="H29" s="2" t="s">
        <v>2</v>
      </c>
      <c r="I29" s="2" t="s">
        <v>1220</v>
      </c>
      <c r="J29" s="2" t="s">
        <v>2</v>
      </c>
      <c r="K29" s="3">
        <v>0</v>
      </c>
      <c r="L29" s="3">
        <v>0</v>
      </c>
      <c r="M29" s="3">
        <v>2</v>
      </c>
      <c r="N29" s="3">
        <v>0</v>
      </c>
      <c r="O29" s="4">
        <v>0</v>
      </c>
      <c r="P29" s="4">
        <v>0</v>
      </c>
      <c r="Q29" s="4">
        <v>5.4</v>
      </c>
      <c r="R29" s="4">
        <v>0</v>
      </c>
      <c r="S29" s="4">
        <v>0</v>
      </c>
      <c r="T29" s="2" t="s">
        <v>2</v>
      </c>
      <c r="U29" s="2" t="s">
        <v>1221</v>
      </c>
      <c r="V29" s="2" t="s">
        <v>2</v>
      </c>
      <c r="W29" s="2" t="s">
        <v>2</v>
      </c>
    </row>
    <row r="30" spans="1:23" ht="24" customHeight="1" x14ac:dyDescent="0.3">
      <c r="A30" s="2" t="s">
        <v>113</v>
      </c>
      <c r="B30" s="11"/>
      <c r="C30" s="11"/>
      <c r="D30" s="2" t="s">
        <v>1222</v>
      </c>
      <c r="E30" s="2" t="s">
        <v>1223</v>
      </c>
      <c r="F30" s="2" t="s">
        <v>1224</v>
      </c>
      <c r="G30" s="2" t="s">
        <v>2</v>
      </c>
      <c r="H30" s="2" t="s">
        <v>2</v>
      </c>
      <c r="I30" s="2" t="s">
        <v>2</v>
      </c>
      <c r="J30" s="2" t="s">
        <v>1225</v>
      </c>
      <c r="K30" s="3">
        <v>0</v>
      </c>
      <c r="L30" s="3">
        <v>0</v>
      </c>
      <c r="M30" s="3">
        <v>0</v>
      </c>
      <c r="N30" s="3">
        <v>6</v>
      </c>
      <c r="O30" s="4">
        <v>0</v>
      </c>
      <c r="P30" s="4">
        <v>0</v>
      </c>
      <c r="Q30" s="4">
        <v>0</v>
      </c>
      <c r="R30" s="4">
        <v>12.5</v>
      </c>
      <c r="S30" s="4">
        <v>0.4</v>
      </c>
      <c r="T30" s="2" t="s">
        <v>1226</v>
      </c>
      <c r="U30" s="2" t="s">
        <v>555</v>
      </c>
      <c r="V30" s="2" t="s">
        <v>2</v>
      </c>
      <c r="W30" s="2" t="s">
        <v>2</v>
      </c>
    </row>
    <row r="31" spans="1:23" ht="24" customHeight="1" x14ac:dyDescent="0.3">
      <c r="A31" s="2" t="s">
        <v>114</v>
      </c>
      <c r="B31" s="11"/>
      <c r="C31" s="11"/>
      <c r="D31" s="2" t="s">
        <v>1227</v>
      </c>
      <c r="E31" s="2" t="s">
        <v>1228</v>
      </c>
      <c r="F31" s="2" t="s">
        <v>1229</v>
      </c>
      <c r="G31" s="2" t="s">
        <v>2</v>
      </c>
      <c r="H31" s="2" t="s">
        <v>2</v>
      </c>
      <c r="I31" s="2" t="s">
        <v>2</v>
      </c>
      <c r="J31" s="2" t="s">
        <v>489</v>
      </c>
      <c r="K31" s="3">
        <v>0</v>
      </c>
      <c r="L31" s="3">
        <v>0</v>
      </c>
      <c r="M31" s="3">
        <v>0</v>
      </c>
      <c r="N31" s="3">
        <v>2</v>
      </c>
      <c r="O31" s="4">
        <v>0</v>
      </c>
      <c r="P31" s="4">
        <v>0</v>
      </c>
      <c r="Q31" s="4">
        <v>0</v>
      </c>
      <c r="R31" s="4">
        <v>37</v>
      </c>
      <c r="S31" s="4">
        <v>0</v>
      </c>
      <c r="T31" s="2" t="s">
        <v>1230</v>
      </c>
      <c r="U31" s="2" t="s">
        <v>1231</v>
      </c>
      <c r="V31" s="2" t="s">
        <v>2</v>
      </c>
      <c r="W31" s="2" t="s">
        <v>992</v>
      </c>
    </row>
    <row r="32" spans="1:23" ht="24" customHeight="1" x14ac:dyDescent="0.3">
      <c r="A32" s="2" t="s">
        <v>115</v>
      </c>
      <c r="B32" s="11"/>
      <c r="C32" s="11"/>
      <c r="D32" s="2" t="s">
        <v>1232</v>
      </c>
      <c r="E32" s="2" t="s">
        <v>1233</v>
      </c>
      <c r="F32" s="2" t="s">
        <v>1234</v>
      </c>
      <c r="G32" s="2" t="s">
        <v>2</v>
      </c>
      <c r="H32" s="2" t="s">
        <v>2</v>
      </c>
      <c r="I32" s="2" t="s">
        <v>2</v>
      </c>
      <c r="J32" s="2" t="s">
        <v>1235</v>
      </c>
      <c r="K32" s="3">
        <v>0</v>
      </c>
      <c r="L32" s="3">
        <v>0</v>
      </c>
      <c r="M32" s="3">
        <v>0</v>
      </c>
      <c r="N32" s="3">
        <v>15</v>
      </c>
      <c r="O32" s="4">
        <v>0</v>
      </c>
      <c r="P32" s="4">
        <v>0</v>
      </c>
      <c r="Q32" s="4">
        <v>0</v>
      </c>
      <c r="R32" s="4">
        <v>276.3</v>
      </c>
      <c r="S32" s="4">
        <v>0</v>
      </c>
      <c r="T32" s="2" t="s">
        <v>1236</v>
      </c>
      <c r="U32" s="2" t="s">
        <v>1237</v>
      </c>
      <c r="V32" s="2" t="s">
        <v>2</v>
      </c>
      <c r="W32" s="2" t="s">
        <v>992</v>
      </c>
    </row>
    <row r="33" spans="1:23" ht="24" customHeight="1" x14ac:dyDescent="0.3">
      <c r="A33" s="2" t="s">
        <v>116</v>
      </c>
      <c r="B33" s="11"/>
      <c r="C33" s="11"/>
      <c r="D33" s="2" t="s">
        <v>1238</v>
      </c>
      <c r="E33" s="2" t="s">
        <v>1239</v>
      </c>
      <c r="F33" s="2" t="s">
        <v>1240</v>
      </c>
      <c r="G33" s="2" t="s">
        <v>2</v>
      </c>
      <c r="H33" s="2" t="s">
        <v>2</v>
      </c>
      <c r="I33" s="2" t="s">
        <v>157</v>
      </c>
      <c r="J33" s="2" t="s">
        <v>2</v>
      </c>
      <c r="K33" s="3">
        <v>0</v>
      </c>
      <c r="L33" s="3">
        <v>0</v>
      </c>
      <c r="M33" s="3">
        <v>9</v>
      </c>
      <c r="N33" s="3">
        <v>0</v>
      </c>
      <c r="O33" s="4">
        <v>0</v>
      </c>
      <c r="P33" s="4">
        <v>0</v>
      </c>
      <c r="Q33" s="4">
        <v>45.3</v>
      </c>
      <c r="R33" s="4">
        <v>0</v>
      </c>
      <c r="S33" s="4">
        <v>12682.1</v>
      </c>
      <c r="T33" s="2" t="s">
        <v>1241</v>
      </c>
      <c r="U33" s="2" t="s">
        <v>1242</v>
      </c>
      <c r="V33" s="2" t="s">
        <v>2</v>
      </c>
      <c r="W33" s="2" t="s">
        <v>1243</v>
      </c>
    </row>
    <row r="34" spans="1:23" ht="24" customHeight="1" x14ac:dyDescent="0.3">
      <c r="A34" s="2" t="s">
        <v>117</v>
      </c>
      <c r="B34" s="11"/>
      <c r="C34" s="11"/>
      <c r="D34" s="2" t="s">
        <v>1244</v>
      </c>
      <c r="E34" s="2" t="s">
        <v>1245</v>
      </c>
      <c r="F34" s="2" t="s">
        <v>1246</v>
      </c>
      <c r="G34" s="2" t="s">
        <v>2</v>
      </c>
      <c r="H34" s="2" t="s">
        <v>2</v>
      </c>
      <c r="I34" s="2" t="s">
        <v>1247</v>
      </c>
      <c r="J34" s="2" t="s">
        <v>2</v>
      </c>
      <c r="K34" s="3">
        <v>0</v>
      </c>
      <c r="L34" s="3">
        <v>0</v>
      </c>
      <c r="M34" s="3">
        <v>3</v>
      </c>
      <c r="N34" s="3">
        <v>0</v>
      </c>
      <c r="O34" s="4">
        <v>0</v>
      </c>
      <c r="P34" s="4">
        <v>0</v>
      </c>
      <c r="Q34" s="4">
        <v>9</v>
      </c>
      <c r="R34" s="4">
        <v>0</v>
      </c>
      <c r="S34" s="4">
        <v>0</v>
      </c>
      <c r="T34" s="2" t="s">
        <v>1248</v>
      </c>
      <c r="U34" s="2" t="s">
        <v>1249</v>
      </c>
      <c r="V34" s="2" t="s">
        <v>2</v>
      </c>
      <c r="W34" s="2" t="s">
        <v>992</v>
      </c>
    </row>
    <row r="35" spans="1:23" ht="24" customHeight="1" x14ac:dyDescent="0.3">
      <c r="A35" s="2" t="s">
        <v>117</v>
      </c>
      <c r="B35" s="11"/>
      <c r="C35" s="11"/>
      <c r="D35" s="2" t="s">
        <v>1244</v>
      </c>
      <c r="E35" s="2" t="s">
        <v>1245</v>
      </c>
      <c r="F35" s="2" t="s">
        <v>1246</v>
      </c>
      <c r="G35" s="2" t="s">
        <v>2</v>
      </c>
      <c r="H35" s="2" t="s">
        <v>2</v>
      </c>
      <c r="I35" s="2" t="s">
        <v>2</v>
      </c>
      <c r="J35" s="2" t="s">
        <v>279</v>
      </c>
      <c r="K35" s="3">
        <v>0</v>
      </c>
      <c r="L35" s="3">
        <v>0</v>
      </c>
      <c r="M35" s="3">
        <v>0</v>
      </c>
      <c r="N35" s="3">
        <v>2</v>
      </c>
      <c r="O35" s="4">
        <v>0</v>
      </c>
      <c r="P35" s="4">
        <v>0</v>
      </c>
      <c r="Q35" s="4">
        <v>0</v>
      </c>
      <c r="R35" s="4">
        <v>3.5</v>
      </c>
      <c r="S35" s="4">
        <v>0</v>
      </c>
      <c r="T35" s="2" t="s">
        <v>1248</v>
      </c>
      <c r="U35" s="2" t="s">
        <v>1250</v>
      </c>
      <c r="V35" s="2" t="s">
        <v>2</v>
      </c>
      <c r="W35" s="2" t="s">
        <v>992</v>
      </c>
    </row>
    <row r="36" spans="1:23" ht="24" customHeight="1" x14ac:dyDescent="0.3">
      <c r="A36" s="2" t="s">
        <v>118</v>
      </c>
      <c r="B36" s="11"/>
      <c r="C36" s="11"/>
      <c r="D36" s="2" t="s">
        <v>1251</v>
      </c>
      <c r="E36" s="2" t="s">
        <v>1252</v>
      </c>
      <c r="F36" s="2" t="s">
        <v>1253</v>
      </c>
      <c r="G36" s="2" t="s">
        <v>2</v>
      </c>
      <c r="H36" s="2" t="s">
        <v>2</v>
      </c>
      <c r="I36" s="2" t="s">
        <v>2</v>
      </c>
      <c r="J36" s="2" t="s">
        <v>1254</v>
      </c>
      <c r="K36" s="3">
        <v>0</v>
      </c>
      <c r="L36" s="3">
        <v>0</v>
      </c>
      <c r="M36" s="3">
        <v>0</v>
      </c>
      <c r="N36" s="3">
        <v>5</v>
      </c>
      <c r="O36" s="4">
        <v>0</v>
      </c>
      <c r="P36" s="4">
        <v>0</v>
      </c>
      <c r="Q36" s="4">
        <v>0</v>
      </c>
      <c r="R36" s="4">
        <v>102.8</v>
      </c>
      <c r="S36" s="4">
        <v>30880.5</v>
      </c>
      <c r="T36" s="2" t="s">
        <v>1255</v>
      </c>
      <c r="U36" s="2" t="s">
        <v>294</v>
      </c>
      <c r="V36" s="2" t="s">
        <v>2</v>
      </c>
      <c r="W36" s="2" t="s">
        <v>2</v>
      </c>
    </row>
    <row r="37" spans="1:23" ht="24" customHeight="1" x14ac:dyDescent="0.3">
      <c r="A37" s="2" t="s">
        <v>119</v>
      </c>
      <c r="B37" s="11"/>
      <c r="C37" s="11"/>
      <c r="D37" s="2" t="s">
        <v>1256</v>
      </c>
      <c r="E37" s="2" t="s">
        <v>674</v>
      </c>
      <c r="F37" s="2" t="s">
        <v>1257</v>
      </c>
      <c r="G37" s="2" t="s">
        <v>2</v>
      </c>
      <c r="H37" s="2" t="s">
        <v>2</v>
      </c>
      <c r="I37" s="2" t="s">
        <v>2</v>
      </c>
      <c r="J37" s="2" t="s">
        <v>1258</v>
      </c>
      <c r="K37" s="3">
        <v>0</v>
      </c>
      <c r="L37" s="3">
        <v>0</v>
      </c>
      <c r="M37" s="3">
        <v>0</v>
      </c>
      <c r="N37" s="3">
        <v>3</v>
      </c>
      <c r="O37" s="4">
        <v>0</v>
      </c>
      <c r="P37" s="4">
        <v>0</v>
      </c>
      <c r="Q37" s="4">
        <v>0</v>
      </c>
      <c r="R37" s="4">
        <v>79.5</v>
      </c>
      <c r="S37" s="4">
        <v>0</v>
      </c>
      <c r="T37" s="2" t="s">
        <v>1259</v>
      </c>
      <c r="U37" s="2" t="s">
        <v>1260</v>
      </c>
      <c r="V37" s="2" t="s">
        <v>1261</v>
      </c>
      <c r="W37" s="2" t="s">
        <v>980</v>
      </c>
    </row>
    <row r="38" spans="1:23" ht="24" customHeight="1" x14ac:dyDescent="0.3">
      <c r="A38" s="2" t="s">
        <v>120</v>
      </c>
      <c r="B38" s="11"/>
      <c r="C38" s="11"/>
      <c r="D38" s="2" t="s">
        <v>1262</v>
      </c>
      <c r="E38" s="2" t="s">
        <v>1263</v>
      </c>
      <c r="F38" s="2" t="s">
        <v>1264</v>
      </c>
      <c r="G38" s="2" t="s">
        <v>2</v>
      </c>
      <c r="H38" s="2" t="s">
        <v>2</v>
      </c>
      <c r="I38" s="2" t="s">
        <v>2</v>
      </c>
      <c r="J38" s="2" t="s">
        <v>1265</v>
      </c>
      <c r="K38" s="3">
        <v>0</v>
      </c>
      <c r="L38" s="3">
        <v>0</v>
      </c>
      <c r="M38" s="3">
        <v>0</v>
      </c>
      <c r="N38" s="3">
        <v>3</v>
      </c>
      <c r="O38" s="4">
        <v>0</v>
      </c>
      <c r="P38" s="4">
        <v>0</v>
      </c>
      <c r="Q38" s="4">
        <v>0</v>
      </c>
      <c r="R38" s="4">
        <v>76.5</v>
      </c>
      <c r="S38" s="4">
        <v>0</v>
      </c>
      <c r="T38" s="2" t="s">
        <v>1266</v>
      </c>
      <c r="U38" s="2" t="s">
        <v>1267</v>
      </c>
      <c r="V38" s="2" t="s">
        <v>2</v>
      </c>
      <c r="W38" s="2" t="s">
        <v>980</v>
      </c>
    </row>
    <row r="39" spans="1:23" ht="24" customHeight="1" x14ac:dyDescent="0.3">
      <c r="A39" s="2" t="s">
        <v>123</v>
      </c>
      <c r="B39" s="11"/>
      <c r="C39" s="11"/>
      <c r="D39" s="2" t="s">
        <v>1268</v>
      </c>
      <c r="E39" s="2" t="s">
        <v>1269</v>
      </c>
      <c r="F39" s="2" t="s">
        <v>1264</v>
      </c>
      <c r="G39" s="2" t="s">
        <v>2</v>
      </c>
      <c r="H39" s="2" t="s">
        <v>2</v>
      </c>
      <c r="I39" s="2" t="s">
        <v>2</v>
      </c>
      <c r="J39" s="2" t="s">
        <v>1258</v>
      </c>
      <c r="K39" s="3">
        <v>0</v>
      </c>
      <c r="L39" s="3">
        <v>0</v>
      </c>
      <c r="M39" s="3">
        <v>0</v>
      </c>
      <c r="N39" s="3">
        <v>4</v>
      </c>
      <c r="O39" s="4">
        <v>0</v>
      </c>
      <c r="P39" s="4">
        <v>0</v>
      </c>
      <c r="Q39" s="4">
        <v>0</v>
      </c>
      <c r="R39" s="4">
        <v>103.5</v>
      </c>
      <c r="S39" s="4">
        <v>71913.2</v>
      </c>
      <c r="T39" s="2" t="s">
        <v>1270</v>
      </c>
      <c r="U39" s="2" t="s">
        <v>1271</v>
      </c>
      <c r="V39" s="2" t="s">
        <v>2</v>
      </c>
      <c r="W39" s="2" t="s">
        <v>2</v>
      </c>
    </row>
    <row r="40" spans="1:23" ht="24" customHeight="1" x14ac:dyDescent="0.3">
      <c r="A40" s="2" t="s">
        <v>135</v>
      </c>
      <c r="B40" s="11"/>
      <c r="C40" s="11"/>
      <c r="D40" s="2" t="s">
        <v>1272</v>
      </c>
      <c r="E40" s="2" t="s">
        <v>1273</v>
      </c>
      <c r="F40" s="2" t="s">
        <v>1274</v>
      </c>
      <c r="G40" s="2" t="s">
        <v>2</v>
      </c>
      <c r="H40" s="2" t="s">
        <v>2</v>
      </c>
      <c r="I40" s="2" t="s">
        <v>2</v>
      </c>
      <c r="J40" s="2" t="s">
        <v>1275</v>
      </c>
      <c r="K40" s="3">
        <v>0</v>
      </c>
      <c r="L40" s="3">
        <v>0</v>
      </c>
      <c r="M40" s="3">
        <v>0</v>
      </c>
      <c r="N40" s="3">
        <v>2</v>
      </c>
      <c r="O40" s="4">
        <v>0</v>
      </c>
      <c r="P40" s="4">
        <v>0</v>
      </c>
      <c r="Q40" s="4">
        <v>0</v>
      </c>
      <c r="R40" s="4">
        <v>21</v>
      </c>
      <c r="S40" s="4">
        <v>0</v>
      </c>
      <c r="T40" s="2" t="s">
        <v>1276</v>
      </c>
      <c r="U40" s="2" t="s">
        <v>1015</v>
      </c>
      <c r="V40" s="2" t="s">
        <v>2</v>
      </c>
      <c r="W40" s="2" t="s">
        <v>992</v>
      </c>
    </row>
    <row r="41" spans="1:23" ht="24" customHeight="1" x14ac:dyDescent="0.3">
      <c r="A41" s="2" t="s">
        <v>136</v>
      </c>
      <c r="B41" s="11"/>
      <c r="C41" s="11"/>
      <c r="D41" s="2" t="s">
        <v>1277</v>
      </c>
      <c r="E41" s="2" t="s">
        <v>1278</v>
      </c>
      <c r="F41" s="2" t="s">
        <v>1279</v>
      </c>
      <c r="G41" s="2" t="s">
        <v>2</v>
      </c>
      <c r="H41" s="2" t="s">
        <v>2</v>
      </c>
      <c r="I41" s="2" t="s">
        <v>2</v>
      </c>
      <c r="J41" s="2" t="s">
        <v>489</v>
      </c>
      <c r="K41" s="3">
        <v>0</v>
      </c>
      <c r="L41" s="3">
        <v>0</v>
      </c>
      <c r="M41" s="3">
        <v>0</v>
      </c>
      <c r="N41" s="3">
        <v>2</v>
      </c>
      <c r="O41" s="4">
        <v>0</v>
      </c>
      <c r="P41" s="4">
        <v>0</v>
      </c>
      <c r="Q41" s="4">
        <v>0</v>
      </c>
      <c r="R41" s="4">
        <v>32</v>
      </c>
      <c r="S41" s="4">
        <v>0</v>
      </c>
      <c r="T41" s="2" t="s">
        <v>1280</v>
      </c>
      <c r="U41" s="2" t="s">
        <v>1281</v>
      </c>
      <c r="V41" s="2" t="s">
        <v>2</v>
      </c>
      <c r="W41" s="2" t="s">
        <v>992</v>
      </c>
    </row>
    <row r="42" spans="1:23" ht="24" customHeight="1" x14ac:dyDescent="0.3">
      <c r="A42" s="2" t="s">
        <v>137</v>
      </c>
      <c r="B42" s="11"/>
      <c r="C42" s="11"/>
      <c r="D42" s="2" t="s">
        <v>1282</v>
      </c>
      <c r="E42" s="2" t="s">
        <v>1283</v>
      </c>
      <c r="F42" s="2" t="s">
        <v>1284</v>
      </c>
      <c r="G42" s="2" t="s">
        <v>2</v>
      </c>
      <c r="H42" s="2" t="s">
        <v>2</v>
      </c>
      <c r="I42" s="2" t="s">
        <v>2</v>
      </c>
      <c r="J42" s="2" t="s">
        <v>1285</v>
      </c>
      <c r="K42" s="3">
        <v>0</v>
      </c>
      <c r="L42" s="3">
        <v>0</v>
      </c>
      <c r="M42" s="3">
        <v>0</v>
      </c>
      <c r="N42" s="3">
        <v>6</v>
      </c>
      <c r="O42" s="4">
        <v>0</v>
      </c>
      <c r="P42" s="4">
        <v>0</v>
      </c>
      <c r="Q42" s="4">
        <v>0</v>
      </c>
      <c r="R42" s="4">
        <v>156</v>
      </c>
      <c r="S42" s="4">
        <v>54247.3</v>
      </c>
      <c r="T42" s="2" t="s">
        <v>1286</v>
      </c>
      <c r="U42" s="2" t="s">
        <v>640</v>
      </c>
      <c r="V42" s="2" t="s">
        <v>2</v>
      </c>
      <c r="W42" s="2" t="s">
        <v>2</v>
      </c>
    </row>
    <row r="43" spans="1:23" ht="24" customHeight="1" x14ac:dyDescent="0.3">
      <c r="A43" s="2" t="s">
        <v>138</v>
      </c>
      <c r="B43" s="11"/>
      <c r="C43" s="11"/>
      <c r="D43" s="2" t="s">
        <v>1287</v>
      </c>
      <c r="E43" s="2" t="s">
        <v>1288</v>
      </c>
      <c r="F43" s="2" t="s">
        <v>1289</v>
      </c>
      <c r="G43" s="2" t="s">
        <v>2</v>
      </c>
      <c r="H43" s="2" t="s">
        <v>2</v>
      </c>
      <c r="I43" s="2" t="s">
        <v>2</v>
      </c>
      <c r="J43" s="2" t="s">
        <v>1290</v>
      </c>
      <c r="K43" s="3">
        <v>0</v>
      </c>
      <c r="L43" s="3">
        <v>0</v>
      </c>
      <c r="M43" s="3">
        <v>0</v>
      </c>
      <c r="N43" s="3">
        <v>2</v>
      </c>
      <c r="O43" s="4">
        <v>0</v>
      </c>
      <c r="P43" s="4">
        <v>0</v>
      </c>
      <c r="Q43" s="4">
        <v>0</v>
      </c>
      <c r="R43" s="4">
        <v>12.9</v>
      </c>
      <c r="S43" s="4">
        <v>0</v>
      </c>
      <c r="T43" s="2" t="s">
        <v>1291</v>
      </c>
      <c r="U43" s="2" t="s">
        <v>1292</v>
      </c>
      <c r="V43" s="2" t="s">
        <v>2</v>
      </c>
      <c r="W43" s="2" t="s">
        <v>2</v>
      </c>
    </row>
    <row r="44" spans="1:23" ht="24" customHeight="1" x14ac:dyDescent="0.3">
      <c r="A44" s="2" t="s">
        <v>139</v>
      </c>
      <c r="B44" s="11"/>
      <c r="C44" s="11" t="s">
        <v>193</v>
      </c>
      <c r="D44" s="2" t="s">
        <v>1293</v>
      </c>
      <c r="E44" s="2" t="s">
        <v>1294</v>
      </c>
      <c r="F44" s="2" t="s">
        <v>1295</v>
      </c>
      <c r="G44" s="2" t="s">
        <v>2</v>
      </c>
      <c r="H44" s="2" t="s">
        <v>2</v>
      </c>
      <c r="I44" s="2" t="s">
        <v>2</v>
      </c>
      <c r="J44" s="2" t="s">
        <v>28</v>
      </c>
      <c r="K44" s="3">
        <v>0</v>
      </c>
      <c r="L44" s="3">
        <v>0</v>
      </c>
      <c r="M44" s="3">
        <v>0</v>
      </c>
      <c r="N44" s="3">
        <v>2</v>
      </c>
      <c r="O44" s="4">
        <v>0</v>
      </c>
      <c r="P44" s="4">
        <v>0</v>
      </c>
      <c r="Q44" s="4">
        <v>0</v>
      </c>
      <c r="R44" s="4">
        <v>4.9000000000000004</v>
      </c>
      <c r="S44" s="4">
        <v>0</v>
      </c>
      <c r="T44" s="2" t="s">
        <v>1296</v>
      </c>
      <c r="U44" s="2" t="s">
        <v>1079</v>
      </c>
      <c r="V44" s="2" t="s">
        <v>2</v>
      </c>
      <c r="W44" s="2" t="s">
        <v>510</v>
      </c>
    </row>
    <row r="45" spans="1:23" ht="24" customHeight="1" x14ac:dyDescent="0.3">
      <c r="A45" s="2" t="s">
        <v>140</v>
      </c>
      <c r="B45" s="11"/>
      <c r="C45" s="11"/>
      <c r="D45" s="2" t="s">
        <v>1297</v>
      </c>
      <c r="E45" s="2" t="s">
        <v>1298</v>
      </c>
      <c r="F45" s="2" t="s">
        <v>1299</v>
      </c>
      <c r="G45" s="2" t="s">
        <v>2</v>
      </c>
      <c r="H45" s="2" t="s">
        <v>2</v>
      </c>
      <c r="I45" s="2" t="s">
        <v>2</v>
      </c>
      <c r="J45" s="2" t="s">
        <v>28</v>
      </c>
      <c r="K45" s="3">
        <v>0</v>
      </c>
      <c r="L45" s="3">
        <v>0</v>
      </c>
      <c r="M45" s="3">
        <v>0</v>
      </c>
      <c r="N45" s="3">
        <v>2</v>
      </c>
      <c r="O45" s="4">
        <v>0</v>
      </c>
      <c r="P45" s="4">
        <v>0</v>
      </c>
      <c r="Q45" s="4">
        <v>0</v>
      </c>
      <c r="R45" s="4">
        <v>7.5</v>
      </c>
      <c r="S45" s="4">
        <v>377.4</v>
      </c>
      <c r="T45" s="2" t="s">
        <v>1300</v>
      </c>
      <c r="U45" s="2" t="s">
        <v>1301</v>
      </c>
      <c r="V45" s="2" t="s">
        <v>2</v>
      </c>
      <c r="W45" s="2" t="s">
        <v>2</v>
      </c>
    </row>
    <row r="46" spans="1:23" ht="24" customHeight="1" x14ac:dyDescent="0.3">
      <c r="A46" s="2" t="s">
        <v>141</v>
      </c>
      <c r="B46" s="11"/>
      <c r="C46" s="11"/>
      <c r="D46" s="2" t="s">
        <v>1302</v>
      </c>
      <c r="E46" s="2" t="s">
        <v>1303</v>
      </c>
      <c r="F46" s="2" t="s">
        <v>1304</v>
      </c>
      <c r="G46" s="2" t="s">
        <v>2</v>
      </c>
      <c r="H46" s="2" t="s">
        <v>2</v>
      </c>
      <c r="I46" s="2" t="s">
        <v>1305</v>
      </c>
      <c r="J46" s="2" t="s">
        <v>2</v>
      </c>
      <c r="K46" s="3">
        <v>0</v>
      </c>
      <c r="L46" s="3">
        <v>0</v>
      </c>
      <c r="M46" s="3">
        <v>3</v>
      </c>
      <c r="N46" s="3">
        <v>0</v>
      </c>
      <c r="O46" s="4">
        <v>0</v>
      </c>
      <c r="P46" s="4">
        <v>0</v>
      </c>
      <c r="Q46" s="4">
        <v>18.2</v>
      </c>
      <c r="R46" s="4">
        <v>0</v>
      </c>
      <c r="S46" s="4">
        <v>219.8</v>
      </c>
      <c r="T46" s="2" t="s">
        <v>1306</v>
      </c>
      <c r="U46" s="2" t="s">
        <v>1307</v>
      </c>
      <c r="V46" s="2" t="s">
        <v>2</v>
      </c>
      <c r="W46" s="2" t="s">
        <v>2</v>
      </c>
    </row>
    <row r="47" spans="1:23" ht="24" customHeight="1" x14ac:dyDescent="0.3">
      <c r="A47" s="2" t="s">
        <v>142</v>
      </c>
      <c r="B47" s="11"/>
      <c r="C47" s="11"/>
      <c r="D47" s="2" t="s">
        <v>1308</v>
      </c>
      <c r="E47" s="2" t="s">
        <v>1309</v>
      </c>
      <c r="F47" s="2" t="s">
        <v>1304</v>
      </c>
      <c r="G47" s="2" t="s">
        <v>2</v>
      </c>
      <c r="H47" s="2" t="s">
        <v>2</v>
      </c>
      <c r="I47" s="2" t="s">
        <v>2</v>
      </c>
      <c r="J47" s="2" t="s">
        <v>28</v>
      </c>
      <c r="K47" s="3">
        <v>0</v>
      </c>
      <c r="L47" s="3">
        <v>0</v>
      </c>
      <c r="M47" s="3">
        <v>0</v>
      </c>
      <c r="N47" s="3">
        <v>2</v>
      </c>
      <c r="O47" s="4">
        <v>0</v>
      </c>
      <c r="P47" s="4">
        <v>0</v>
      </c>
      <c r="Q47" s="4">
        <v>0</v>
      </c>
      <c r="R47" s="4">
        <v>48</v>
      </c>
      <c r="S47" s="4">
        <v>11021.5</v>
      </c>
      <c r="T47" s="2" t="s">
        <v>1310</v>
      </c>
      <c r="U47" s="2" t="s">
        <v>1311</v>
      </c>
      <c r="V47" s="2" t="s">
        <v>2</v>
      </c>
      <c r="W47" s="2" t="s">
        <v>2</v>
      </c>
    </row>
    <row r="48" spans="1:23" ht="24" customHeight="1" x14ac:dyDescent="0.3">
      <c r="A48" s="2" t="s">
        <v>143</v>
      </c>
      <c r="B48" s="11"/>
      <c r="C48" s="11"/>
      <c r="D48" s="2" t="s">
        <v>1312</v>
      </c>
      <c r="E48" s="2" t="s">
        <v>1313</v>
      </c>
      <c r="F48" s="2" t="s">
        <v>1314</v>
      </c>
      <c r="G48" s="2" t="s">
        <v>2</v>
      </c>
      <c r="H48" s="2" t="s">
        <v>2</v>
      </c>
      <c r="I48" s="2" t="s">
        <v>2</v>
      </c>
      <c r="J48" s="2" t="s">
        <v>28</v>
      </c>
      <c r="K48" s="3">
        <v>0</v>
      </c>
      <c r="L48" s="3">
        <v>0</v>
      </c>
      <c r="M48" s="3">
        <v>0</v>
      </c>
      <c r="N48" s="3">
        <v>2</v>
      </c>
      <c r="O48" s="4">
        <v>0</v>
      </c>
      <c r="P48" s="4">
        <v>0</v>
      </c>
      <c r="Q48" s="4">
        <v>0</v>
      </c>
      <c r="R48" s="4">
        <v>5.7</v>
      </c>
      <c r="S48" s="4">
        <v>0</v>
      </c>
      <c r="T48" s="2" t="s">
        <v>1315</v>
      </c>
      <c r="U48" s="2" t="s">
        <v>843</v>
      </c>
      <c r="V48" s="2" t="s">
        <v>1316</v>
      </c>
      <c r="W48" s="2" t="s">
        <v>1317</v>
      </c>
    </row>
    <row r="49" spans="1:23" ht="24" customHeight="1" x14ac:dyDescent="0.3">
      <c r="A49" s="2" t="s">
        <v>143</v>
      </c>
      <c r="B49" s="11"/>
      <c r="C49" s="11"/>
      <c r="D49" s="2" t="s">
        <v>1312</v>
      </c>
      <c r="E49" s="2" t="s">
        <v>1313</v>
      </c>
      <c r="F49" s="2" t="s">
        <v>1314</v>
      </c>
      <c r="G49" s="2" t="s">
        <v>2</v>
      </c>
      <c r="H49" s="2" t="s">
        <v>2</v>
      </c>
      <c r="I49" s="2" t="s">
        <v>27</v>
      </c>
      <c r="J49" s="2" t="s">
        <v>2</v>
      </c>
      <c r="K49" s="3">
        <v>0</v>
      </c>
      <c r="L49" s="3">
        <v>0</v>
      </c>
      <c r="M49" s="3">
        <v>3</v>
      </c>
      <c r="N49" s="3">
        <v>0</v>
      </c>
      <c r="O49" s="4">
        <v>0</v>
      </c>
      <c r="P49" s="4">
        <v>0</v>
      </c>
      <c r="Q49" s="4">
        <v>7</v>
      </c>
      <c r="R49" s="4">
        <v>0</v>
      </c>
      <c r="S49" s="4">
        <v>0</v>
      </c>
      <c r="T49" s="2" t="s">
        <v>1315</v>
      </c>
      <c r="U49" s="2" t="s">
        <v>1318</v>
      </c>
      <c r="V49" s="2" t="s">
        <v>1078</v>
      </c>
      <c r="W49" s="2" t="s">
        <v>980</v>
      </c>
    </row>
    <row r="50" spans="1:23" ht="24" customHeight="1" x14ac:dyDescent="0.3">
      <c r="A50" s="2" t="s">
        <v>144</v>
      </c>
      <c r="B50" s="11"/>
      <c r="C50" s="11"/>
      <c r="D50" s="2" t="s">
        <v>1319</v>
      </c>
      <c r="E50" s="2" t="s">
        <v>1320</v>
      </c>
      <c r="F50" s="2" t="s">
        <v>1321</v>
      </c>
      <c r="G50" s="2" t="s">
        <v>2</v>
      </c>
      <c r="H50" s="2" t="s">
        <v>2</v>
      </c>
      <c r="I50" s="2" t="s">
        <v>1305</v>
      </c>
      <c r="J50" s="2" t="s">
        <v>2</v>
      </c>
      <c r="K50" s="3">
        <v>0</v>
      </c>
      <c r="L50" s="3">
        <v>0</v>
      </c>
      <c r="M50" s="3">
        <v>6</v>
      </c>
      <c r="N50" s="3">
        <v>0</v>
      </c>
      <c r="O50" s="4">
        <v>0</v>
      </c>
      <c r="P50" s="4">
        <v>0</v>
      </c>
      <c r="Q50" s="4">
        <v>33</v>
      </c>
      <c r="R50" s="4">
        <v>0</v>
      </c>
      <c r="S50" s="4">
        <v>3716</v>
      </c>
      <c r="T50" s="2" t="s">
        <v>1322</v>
      </c>
      <c r="U50" s="2" t="s">
        <v>1323</v>
      </c>
      <c r="V50" s="2" t="s">
        <v>2</v>
      </c>
      <c r="W50" s="2" t="s">
        <v>2</v>
      </c>
    </row>
    <row r="51" spans="1:23" ht="24" customHeight="1" x14ac:dyDescent="0.3">
      <c r="A51" s="2" t="s">
        <v>145</v>
      </c>
      <c r="B51" s="11"/>
      <c r="C51" s="11"/>
      <c r="D51" s="2" t="s">
        <v>1324</v>
      </c>
      <c r="E51" s="2" t="s">
        <v>1325</v>
      </c>
      <c r="F51" s="2" t="s">
        <v>1321</v>
      </c>
      <c r="G51" s="2" t="s">
        <v>2</v>
      </c>
      <c r="H51" s="2" t="s">
        <v>2</v>
      </c>
      <c r="I51" s="2" t="s">
        <v>1305</v>
      </c>
      <c r="J51" s="2" t="s">
        <v>2</v>
      </c>
      <c r="K51" s="3">
        <v>0</v>
      </c>
      <c r="L51" s="3">
        <v>0</v>
      </c>
      <c r="M51" s="3">
        <v>3</v>
      </c>
      <c r="N51" s="3">
        <v>0</v>
      </c>
      <c r="O51" s="4">
        <v>0</v>
      </c>
      <c r="P51" s="4">
        <v>0</v>
      </c>
      <c r="Q51" s="4">
        <v>16</v>
      </c>
      <c r="R51" s="4">
        <v>0</v>
      </c>
      <c r="S51" s="4">
        <v>315.5</v>
      </c>
      <c r="T51" s="2" t="s">
        <v>1326</v>
      </c>
      <c r="U51" s="2" t="s">
        <v>1327</v>
      </c>
      <c r="V51" s="2" t="s">
        <v>2</v>
      </c>
      <c r="W51" s="2" t="s">
        <v>2</v>
      </c>
    </row>
    <row r="52" spans="1:23" ht="24" customHeight="1" x14ac:dyDescent="0.3">
      <c r="A52" s="2" t="s">
        <v>146</v>
      </c>
      <c r="B52" s="11"/>
      <c r="C52" s="11"/>
      <c r="D52" s="2" t="s">
        <v>1328</v>
      </c>
      <c r="E52" s="2" t="s">
        <v>1329</v>
      </c>
      <c r="F52" s="2" t="s">
        <v>1321</v>
      </c>
      <c r="G52" s="2" t="s">
        <v>2</v>
      </c>
      <c r="H52" s="2" t="s">
        <v>2</v>
      </c>
      <c r="I52" s="2" t="s">
        <v>1305</v>
      </c>
      <c r="J52" s="2" t="s">
        <v>2</v>
      </c>
      <c r="K52" s="3">
        <v>0</v>
      </c>
      <c r="L52" s="3">
        <v>0</v>
      </c>
      <c r="M52" s="3">
        <v>3</v>
      </c>
      <c r="N52" s="3">
        <v>0</v>
      </c>
      <c r="O52" s="4">
        <v>0</v>
      </c>
      <c r="P52" s="4">
        <v>0</v>
      </c>
      <c r="Q52" s="4">
        <v>9.3000000000000007</v>
      </c>
      <c r="R52" s="4">
        <v>0</v>
      </c>
      <c r="S52" s="4">
        <v>1394.4</v>
      </c>
      <c r="T52" s="2" t="s">
        <v>1330</v>
      </c>
      <c r="U52" s="2" t="s">
        <v>1331</v>
      </c>
      <c r="V52" s="2" t="s">
        <v>2</v>
      </c>
      <c r="W52" s="2" t="s">
        <v>2</v>
      </c>
    </row>
    <row r="53" spans="1:23" ht="24" customHeight="1" x14ac:dyDescent="0.3">
      <c r="A53" s="2" t="s">
        <v>147</v>
      </c>
      <c r="B53" s="11"/>
      <c r="C53" s="11"/>
      <c r="D53" s="2" t="s">
        <v>1332</v>
      </c>
      <c r="E53" s="2" t="s">
        <v>1333</v>
      </c>
      <c r="F53" s="2" t="s">
        <v>1321</v>
      </c>
      <c r="G53" s="2" t="s">
        <v>2</v>
      </c>
      <c r="H53" s="2" t="s">
        <v>2</v>
      </c>
      <c r="I53" s="2" t="s">
        <v>2</v>
      </c>
      <c r="J53" s="2" t="s">
        <v>28</v>
      </c>
      <c r="K53" s="3">
        <v>0</v>
      </c>
      <c r="L53" s="3">
        <v>0</v>
      </c>
      <c r="M53" s="3">
        <v>0</v>
      </c>
      <c r="N53" s="3">
        <v>2</v>
      </c>
      <c r="O53" s="4">
        <v>0</v>
      </c>
      <c r="P53" s="4">
        <v>0</v>
      </c>
      <c r="Q53" s="4">
        <v>0</v>
      </c>
      <c r="R53" s="4">
        <v>6.5</v>
      </c>
      <c r="S53" s="4">
        <v>41.3</v>
      </c>
      <c r="T53" s="2" t="s">
        <v>297</v>
      </c>
      <c r="U53" s="2" t="s">
        <v>754</v>
      </c>
      <c r="V53" s="2" t="s">
        <v>2</v>
      </c>
      <c r="W53" s="2" t="s">
        <v>510</v>
      </c>
    </row>
    <row r="54" spans="1:23" ht="24" customHeight="1" x14ac:dyDescent="0.3">
      <c r="A54" s="2" t="s">
        <v>148</v>
      </c>
      <c r="B54" s="11"/>
      <c r="C54" s="11"/>
      <c r="D54" s="2" t="s">
        <v>1334</v>
      </c>
      <c r="E54" s="2" t="s">
        <v>1335</v>
      </c>
      <c r="F54" s="2" t="s">
        <v>1321</v>
      </c>
      <c r="G54" s="2" t="s">
        <v>2</v>
      </c>
      <c r="H54" s="2" t="s">
        <v>2</v>
      </c>
      <c r="I54" s="2" t="s">
        <v>2</v>
      </c>
      <c r="J54" s="2" t="s">
        <v>28</v>
      </c>
      <c r="K54" s="3">
        <v>0</v>
      </c>
      <c r="L54" s="3">
        <v>0</v>
      </c>
      <c r="M54" s="3">
        <v>0</v>
      </c>
      <c r="N54" s="3">
        <v>3</v>
      </c>
      <c r="O54" s="4">
        <v>0</v>
      </c>
      <c r="P54" s="4">
        <v>0</v>
      </c>
      <c r="Q54" s="4">
        <v>0</v>
      </c>
      <c r="R54" s="4">
        <v>6.7</v>
      </c>
      <c r="S54" s="4">
        <v>3349.8</v>
      </c>
      <c r="T54" s="2" t="s">
        <v>1336</v>
      </c>
      <c r="U54" s="2" t="s">
        <v>1337</v>
      </c>
      <c r="V54" s="2" t="s">
        <v>2</v>
      </c>
      <c r="W54" s="2" t="s">
        <v>2</v>
      </c>
    </row>
    <row r="55" spans="1:23" ht="24" customHeight="1" x14ac:dyDescent="0.3">
      <c r="A55" s="2" t="s">
        <v>149</v>
      </c>
      <c r="B55" s="11"/>
      <c r="C55" s="11"/>
      <c r="D55" s="2" t="s">
        <v>1338</v>
      </c>
      <c r="E55" s="2" t="s">
        <v>1339</v>
      </c>
      <c r="F55" s="2" t="s">
        <v>1321</v>
      </c>
      <c r="G55" s="2" t="s">
        <v>2</v>
      </c>
      <c r="H55" s="2" t="s">
        <v>2</v>
      </c>
      <c r="I55" s="2" t="s">
        <v>1305</v>
      </c>
      <c r="J55" s="2" t="s">
        <v>2</v>
      </c>
      <c r="K55" s="3">
        <v>0</v>
      </c>
      <c r="L55" s="3">
        <v>0</v>
      </c>
      <c r="M55" s="3">
        <v>1</v>
      </c>
      <c r="N55" s="3">
        <v>0</v>
      </c>
      <c r="O55" s="4">
        <v>0</v>
      </c>
      <c r="P55" s="4">
        <v>0</v>
      </c>
      <c r="Q55" s="4">
        <v>3.1</v>
      </c>
      <c r="R55" s="4">
        <v>0</v>
      </c>
      <c r="S55" s="4">
        <v>57.7</v>
      </c>
      <c r="T55" s="2" t="s">
        <v>1340</v>
      </c>
      <c r="U55" s="2" t="s">
        <v>1341</v>
      </c>
      <c r="V55" s="2" t="s">
        <v>2</v>
      </c>
      <c r="W55" s="2" t="s">
        <v>510</v>
      </c>
    </row>
    <row r="56" spans="1:23" ht="24" customHeight="1" x14ac:dyDescent="0.3">
      <c r="A56" s="2" t="s">
        <v>150</v>
      </c>
      <c r="B56" s="11"/>
      <c r="C56" s="11"/>
      <c r="D56" s="2" t="s">
        <v>1342</v>
      </c>
      <c r="E56" s="2" t="s">
        <v>1098</v>
      </c>
      <c r="F56" s="2" t="s">
        <v>1321</v>
      </c>
      <c r="G56" s="2" t="s">
        <v>2</v>
      </c>
      <c r="H56" s="2" t="s">
        <v>2</v>
      </c>
      <c r="I56" s="2" t="s">
        <v>2</v>
      </c>
      <c r="J56" s="2" t="s">
        <v>28</v>
      </c>
      <c r="K56" s="3">
        <v>0</v>
      </c>
      <c r="L56" s="3">
        <v>0</v>
      </c>
      <c r="M56" s="3">
        <v>0</v>
      </c>
      <c r="N56" s="3">
        <v>3</v>
      </c>
      <c r="O56" s="4">
        <v>0</v>
      </c>
      <c r="P56" s="4">
        <v>0</v>
      </c>
      <c r="Q56" s="4">
        <v>0</v>
      </c>
      <c r="R56" s="4">
        <v>47.9</v>
      </c>
      <c r="S56" s="4">
        <v>58976.9</v>
      </c>
      <c r="T56" s="2" t="s">
        <v>1343</v>
      </c>
      <c r="U56" s="2" t="s">
        <v>283</v>
      </c>
      <c r="V56" s="2" t="s">
        <v>2</v>
      </c>
      <c r="W56" s="2" t="s">
        <v>2</v>
      </c>
    </row>
    <row r="57" spans="1:23" ht="24" customHeight="1" x14ac:dyDescent="0.3">
      <c r="A57" s="2" t="s">
        <v>151</v>
      </c>
      <c r="B57" s="11"/>
      <c r="C57" s="11"/>
      <c r="D57" s="2" t="s">
        <v>1344</v>
      </c>
      <c r="E57" s="2" t="s">
        <v>1345</v>
      </c>
      <c r="F57" s="2" t="s">
        <v>1321</v>
      </c>
      <c r="G57" s="2" t="s">
        <v>2</v>
      </c>
      <c r="H57" s="2" t="s">
        <v>2</v>
      </c>
      <c r="I57" s="2" t="s">
        <v>2</v>
      </c>
      <c r="J57" s="2" t="s">
        <v>28</v>
      </c>
      <c r="K57" s="3">
        <v>0</v>
      </c>
      <c r="L57" s="3">
        <v>0</v>
      </c>
      <c r="M57" s="3">
        <v>0</v>
      </c>
      <c r="N57" s="3">
        <v>11</v>
      </c>
      <c r="O57" s="4">
        <v>0</v>
      </c>
      <c r="P57" s="4">
        <v>0</v>
      </c>
      <c r="Q57" s="4">
        <v>0</v>
      </c>
      <c r="R57" s="4">
        <v>248.1</v>
      </c>
      <c r="S57" s="4">
        <v>296706.40000000002</v>
      </c>
      <c r="T57" s="2" t="s">
        <v>1346</v>
      </c>
      <c r="U57" s="2" t="s">
        <v>200</v>
      </c>
      <c r="V57" s="2" t="s">
        <v>2</v>
      </c>
      <c r="W57" s="2" t="s">
        <v>2</v>
      </c>
    </row>
    <row r="58" spans="1:23" ht="24" customHeight="1" x14ac:dyDescent="0.3">
      <c r="A58" s="2" t="s">
        <v>152</v>
      </c>
      <c r="B58" s="11"/>
      <c r="C58" s="11"/>
      <c r="D58" s="2" t="s">
        <v>1347</v>
      </c>
      <c r="E58" s="2" t="s">
        <v>1348</v>
      </c>
      <c r="F58" s="2" t="s">
        <v>1321</v>
      </c>
      <c r="G58" s="2" t="s">
        <v>2</v>
      </c>
      <c r="H58" s="2" t="s">
        <v>2</v>
      </c>
      <c r="I58" s="2" t="s">
        <v>2</v>
      </c>
      <c r="J58" s="2" t="s">
        <v>28</v>
      </c>
      <c r="K58" s="3">
        <v>0</v>
      </c>
      <c r="L58" s="3">
        <v>0</v>
      </c>
      <c r="M58" s="3">
        <v>0</v>
      </c>
      <c r="N58" s="3">
        <v>2</v>
      </c>
      <c r="O58" s="4">
        <v>0</v>
      </c>
      <c r="P58" s="4">
        <v>0</v>
      </c>
      <c r="Q58" s="4">
        <v>0</v>
      </c>
      <c r="R58" s="4">
        <v>48.1</v>
      </c>
      <c r="S58" s="4">
        <v>27034.5</v>
      </c>
      <c r="T58" s="2" t="s">
        <v>1330</v>
      </c>
      <c r="U58" s="2" t="s">
        <v>1349</v>
      </c>
      <c r="V58" s="2" t="s">
        <v>2</v>
      </c>
      <c r="W58" s="2" t="s">
        <v>2</v>
      </c>
    </row>
    <row r="59" spans="1:23" ht="24" customHeight="1" x14ac:dyDescent="0.3">
      <c r="A59" s="2" t="s">
        <v>153</v>
      </c>
      <c r="B59" s="11"/>
      <c r="C59" s="11"/>
      <c r="D59" s="2" t="s">
        <v>1350</v>
      </c>
      <c r="E59" s="2" t="s">
        <v>1351</v>
      </c>
      <c r="F59" s="2" t="s">
        <v>1321</v>
      </c>
      <c r="G59" s="2" t="s">
        <v>2</v>
      </c>
      <c r="H59" s="2" t="s">
        <v>2</v>
      </c>
      <c r="I59" s="2" t="s">
        <v>2</v>
      </c>
      <c r="J59" s="2" t="s">
        <v>28</v>
      </c>
      <c r="K59" s="3">
        <v>0</v>
      </c>
      <c r="L59" s="3">
        <v>0</v>
      </c>
      <c r="M59" s="3">
        <v>0</v>
      </c>
      <c r="N59" s="3">
        <v>2</v>
      </c>
      <c r="O59" s="4">
        <v>0</v>
      </c>
      <c r="P59" s="4">
        <v>0</v>
      </c>
      <c r="Q59" s="4">
        <v>0</v>
      </c>
      <c r="R59" s="4">
        <v>3.8</v>
      </c>
      <c r="S59" s="4">
        <v>4936.3999999999996</v>
      </c>
      <c r="T59" s="2" t="s">
        <v>297</v>
      </c>
      <c r="U59" s="2" t="s">
        <v>1352</v>
      </c>
      <c r="V59" s="2" t="s">
        <v>2</v>
      </c>
      <c r="W59" s="2" t="s">
        <v>2</v>
      </c>
    </row>
    <row r="60" spans="1:23" ht="24" customHeight="1" x14ac:dyDescent="0.3">
      <c r="A60" s="2" t="s">
        <v>155</v>
      </c>
      <c r="B60" s="11"/>
      <c r="C60" s="11"/>
      <c r="D60" s="2" t="s">
        <v>1353</v>
      </c>
      <c r="E60" s="2" t="s">
        <v>1354</v>
      </c>
      <c r="F60" s="2" t="s">
        <v>1355</v>
      </c>
      <c r="G60" s="2" t="s">
        <v>2</v>
      </c>
      <c r="H60" s="2" t="s">
        <v>2</v>
      </c>
      <c r="I60" s="2" t="s">
        <v>2</v>
      </c>
      <c r="J60" s="2" t="s">
        <v>28</v>
      </c>
      <c r="K60" s="3">
        <v>0</v>
      </c>
      <c r="L60" s="3">
        <v>0</v>
      </c>
      <c r="M60" s="3">
        <v>0</v>
      </c>
      <c r="N60" s="3">
        <v>4</v>
      </c>
      <c r="O60" s="4">
        <v>0</v>
      </c>
      <c r="P60" s="4">
        <v>0</v>
      </c>
      <c r="Q60" s="4">
        <v>0</v>
      </c>
      <c r="R60" s="4">
        <v>94.9</v>
      </c>
      <c r="S60" s="4">
        <v>0</v>
      </c>
      <c r="T60" s="2" t="s">
        <v>1356</v>
      </c>
      <c r="U60" s="2" t="s">
        <v>1357</v>
      </c>
      <c r="V60" s="2" t="s">
        <v>2</v>
      </c>
      <c r="W60" s="2" t="s">
        <v>2</v>
      </c>
    </row>
    <row r="61" spans="1:23" ht="24" customHeight="1" x14ac:dyDescent="0.3">
      <c r="A61" s="2" t="s">
        <v>362</v>
      </c>
      <c r="B61" s="11"/>
      <c r="C61" s="11"/>
      <c r="D61" s="2" t="s">
        <v>1358</v>
      </c>
      <c r="E61" s="2" t="s">
        <v>1359</v>
      </c>
      <c r="F61" s="2" t="s">
        <v>1355</v>
      </c>
      <c r="G61" s="2" t="s">
        <v>2</v>
      </c>
      <c r="H61" s="2" t="s">
        <v>2</v>
      </c>
      <c r="I61" s="2" t="s">
        <v>1305</v>
      </c>
      <c r="J61" s="2" t="s">
        <v>2</v>
      </c>
      <c r="K61" s="3">
        <v>0</v>
      </c>
      <c r="L61" s="3">
        <v>0</v>
      </c>
      <c r="M61" s="3">
        <v>3</v>
      </c>
      <c r="N61" s="3">
        <v>0</v>
      </c>
      <c r="O61" s="4">
        <v>0</v>
      </c>
      <c r="P61" s="4">
        <v>0</v>
      </c>
      <c r="Q61" s="4">
        <v>22.2</v>
      </c>
      <c r="R61" s="4">
        <v>0</v>
      </c>
      <c r="S61" s="4">
        <v>1459.4</v>
      </c>
      <c r="T61" s="2" t="s">
        <v>297</v>
      </c>
      <c r="U61" s="2" t="s">
        <v>1360</v>
      </c>
      <c r="V61" s="2" t="s">
        <v>2</v>
      </c>
      <c r="W61" s="2" t="s">
        <v>2</v>
      </c>
    </row>
    <row r="62" spans="1:23" ht="24" customHeight="1" x14ac:dyDescent="0.3">
      <c r="A62" s="2" t="s">
        <v>370</v>
      </c>
      <c r="B62" s="11"/>
      <c r="C62" s="11"/>
      <c r="D62" s="2" t="s">
        <v>1361</v>
      </c>
      <c r="E62" s="2" t="s">
        <v>1362</v>
      </c>
      <c r="F62" s="2" t="s">
        <v>1355</v>
      </c>
      <c r="G62" s="2" t="s">
        <v>2</v>
      </c>
      <c r="H62" s="2" t="s">
        <v>2</v>
      </c>
      <c r="I62" s="2" t="s">
        <v>1305</v>
      </c>
      <c r="J62" s="2" t="s">
        <v>2</v>
      </c>
      <c r="K62" s="3">
        <v>0</v>
      </c>
      <c r="L62" s="3">
        <v>0</v>
      </c>
      <c r="M62" s="3">
        <v>3</v>
      </c>
      <c r="N62" s="3">
        <v>0</v>
      </c>
      <c r="O62" s="4">
        <v>0</v>
      </c>
      <c r="P62" s="4">
        <v>0</v>
      </c>
      <c r="Q62" s="4">
        <v>11.6</v>
      </c>
      <c r="R62" s="4">
        <v>0</v>
      </c>
      <c r="S62" s="4">
        <v>126.6</v>
      </c>
      <c r="T62" s="2" t="s">
        <v>1363</v>
      </c>
      <c r="U62" s="2" t="s">
        <v>1022</v>
      </c>
      <c r="V62" s="2" t="s">
        <v>2</v>
      </c>
      <c r="W62" s="2" t="s">
        <v>2</v>
      </c>
    </row>
    <row r="63" spans="1:23" ht="24" customHeight="1" x14ac:dyDescent="0.3">
      <c r="A63" s="2" t="s">
        <v>371</v>
      </c>
      <c r="B63" s="11"/>
      <c r="C63" s="11"/>
      <c r="D63" s="2" t="s">
        <v>1364</v>
      </c>
      <c r="E63" s="2" t="s">
        <v>1365</v>
      </c>
      <c r="F63" s="2" t="s">
        <v>1366</v>
      </c>
      <c r="G63" s="2" t="s">
        <v>2</v>
      </c>
      <c r="H63" s="2" t="s">
        <v>2</v>
      </c>
      <c r="I63" s="2" t="s">
        <v>2</v>
      </c>
      <c r="J63" s="2" t="s">
        <v>28</v>
      </c>
      <c r="K63" s="3">
        <v>0</v>
      </c>
      <c r="L63" s="3">
        <v>0</v>
      </c>
      <c r="M63" s="3">
        <v>0</v>
      </c>
      <c r="N63" s="3">
        <v>2</v>
      </c>
      <c r="O63" s="4">
        <v>0</v>
      </c>
      <c r="P63" s="4">
        <v>0</v>
      </c>
      <c r="Q63" s="4">
        <v>0</v>
      </c>
      <c r="R63" s="4">
        <v>4.8</v>
      </c>
      <c r="S63" s="4">
        <v>258.89999999999998</v>
      </c>
      <c r="T63" s="2" t="s">
        <v>1367</v>
      </c>
      <c r="U63" s="2" t="s">
        <v>843</v>
      </c>
      <c r="V63" s="2" t="s">
        <v>2</v>
      </c>
      <c r="W63" s="2" t="s">
        <v>2</v>
      </c>
    </row>
    <row r="64" spans="1:23" ht="24" customHeight="1" x14ac:dyDescent="0.3">
      <c r="A64" s="2" t="s">
        <v>371</v>
      </c>
      <c r="B64" s="11"/>
      <c r="C64" s="11"/>
      <c r="D64" s="2" t="s">
        <v>1364</v>
      </c>
      <c r="E64" s="2" t="s">
        <v>1365</v>
      </c>
      <c r="F64" s="2" t="s">
        <v>1366</v>
      </c>
      <c r="G64" s="2" t="s">
        <v>2</v>
      </c>
      <c r="H64" s="2" t="s">
        <v>2</v>
      </c>
      <c r="I64" s="2" t="s">
        <v>1305</v>
      </c>
      <c r="J64" s="2" t="s">
        <v>2</v>
      </c>
      <c r="K64" s="3">
        <v>0</v>
      </c>
      <c r="L64" s="3">
        <v>0</v>
      </c>
      <c r="M64" s="3">
        <v>3</v>
      </c>
      <c r="N64" s="3">
        <v>0</v>
      </c>
      <c r="O64" s="4">
        <v>0</v>
      </c>
      <c r="P64" s="4">
        <v>0</v>
      </c>
      <c r="Q64" s="4">
        <v>31.5</v>
      </c>
      <c r="R64" s="4">
        <v>0</v>
      </c>
      <c r="S64" s="4">
        <v>2048.6999999999998</v>
      </c>
      <c r="T64" s="2" t="s">
        <v>1367</v>
      </c>
      <c r="U64" s="2" t="s">
        <v>570</v>
      </c>
      <c r="V64" s="2" t="s">
        <v>2</v>
      </c>
      <c r="W64" s="2" t="s">
        <v>2</v>
      </c>
    </row>
    <row r="65" spans="1:23" ht="24" customHeight="1" x14ac:dyDescent="0.3">
      <c r="A65" s="2" t="s">
        <v>372</v>
      </c>
      <c r="B65" s="11"/>
      <c r="C65" s="11"/>
      <c r="D65" s="2" t="s">
        <v>1368</v>
      </c>
      <c r="E65" s="2" t="s">
        <v>1369</v>
      </c>
      <c r="F65" s="2" t="s">
        <v>1370</v>
      </c>
      <c r="G65" s="2" t="s">
        <v>2</v>
      </c>
      <c r="H65" s="2" t="s">
        <v>2</v>
      </c>
      <c r="I65" s="2" t="s">
        <v>2</v>
      </c>
      <c r="J65" s="2" t="s">
        <v>28</v>
      </c>
      <c r="K65" s="3">
        <v>0</v>
      </c>
      <c r="L65" s="3">
        <v>0</v>
      </c>
      <c r="M65" s="3">
        <v>0</v>
      </c>
      <c r="N65" s="3">
        <v>3</v>
      </c>
      <c r="O65" s="4">
        <v>0</v>
      </c>
      <c r="P65" s="4">
        <v>0</v>
      </c>
      <c r="Q65" s="4">
        <v>0</v>
      </c>
      <c r="R65" s="4">
        <v>8.6</v>
      </c>
      <c r="S65" s="4">
        <v>912.8</v>
      </c>
      <c r="T65" s="2" t="s">
        <v>1371</v>
      </c>
      <c r="U65" s="2" t="s">
        <v>1372</v>
      </c>
      <c r="V65" s="2" t="s">
        <v>2</v>
      </c>
      <c r="W65" s="2" t="s">
        <v>2</v>
      </c>
    </row>
    <row r="66" spans="1:23" ht="24" customHeight="1" x14ac:dyDescent="0.3">
      <c r="A66" s="2" t="s">
        <v>330</v>
      </c>
      <c r="B66" s="11"/>
      <c r="C66" s="11"/>
      <c r="D66" s="2" t="s">
        <v>1373</v>
      </c>
      <c r="E66" s="2" t="s">
        <v>1374</v>
      </c>
      <c r="F66" s="2" t="s">
        <v>1375</v>
      </c>
      <c r="G66" s="2" t="s">
        <v>2</v>
      </c>
      <c r="H66" s="2" t="s">
        <v>2</v>
      </c>
      <c r="I66" s="2" t="s">
        <v>2</v>
      </c>
      <c r="J66" s="2" t="s">
        <v>28</v>
      </c>
      <c r="K66" s="3">
        <v>0</v>
      </c>
      <c r="L66" s="3">
        <v>0</v>
      </c>
      <c r="M66" s="3">
        <v>0</v>
      </c>
      <c r="N66" s="3">
        <v>2</v>
      </c>
      <c r="O66" s="4">
        <v>0</v>
      </c>
      <c r="P66" s="4">
        <v>0</v>
      </c>
      <c r="Q66" s="4">
        <v>0</v>
      </c>
      <c r="R66" s="4">
        <v>2.8</v>
      </c>
      <c r="S66" s="4">
        <v>777.5</v>
      </c>
      <c r="T66" s="2" t="s">
        <v>1376</v>
      </c>
      <c r="U66" s="2" t="s">
        <v>1151</v>
      </c>
      <c r="V66" s="2" t="s">
        <v>2</v>
      </c>
      <c r="W66" s="2" t="s">
        <v>2</v>
      </c>
    </row>
    <row r="67" spans="1:23" ht="24" customHeight="1" x14ac:dyDescent="0.3">
      <c r="A67" s="2" t="s">
        <v>358</v>
      </c>
      <c r="B67" s="11"/>
      <c r="C67" s="11"/>
      <c r="D67" s="2" t="s">
        <v>1377</v>
      </c>
      <c r="E67" s="2" t="s">
        <v>1378</v>
      </c>
      <c r="F67" s="2" t="s">
        <v>1379</v>
      </c>
      <c r="G67" s="2" t="s">
        <v>63</v>
      </c>
      <c r="H67" s="2" t="s">
        <v>2</v>
      </c>
      <c r="I67" s="2" t="s">
        <v>2</v>
      </c>
      <c r="J67" s="2" t="s">
        <v>2</v>
      </c>
      <c r="K67" s="3">
        <v>15</v>
      </c>
      <c r="L67" s="3">
        <v>0</v>
      </c>
      <c r="M67" s="3">
        <v>0</v>
      </c>
      <c r="N67" s="3">
        <v>0</v>
      </c>
      <c r="O67" s="4">
        <v>86.5</v>
      </c>
      <c r="P67" s="4">
        <v>0</v>
      </c>
      <c r="Q67" s="4">
        <v>0</v>
      </c>
      <c r="R67" s="4">
        <v>0</v>
      </c>
      <c r="S67" s="4">
        <v>8866.5</v>
      </c>
      <c r="T67" s="2" t="s">
        <v>1380</v>
      </c>
      <c r="U67" s="2" t="s">
        <v>1381</v>
      </c>
      <c r="V67" s="2" t="s">
        <v>2</v>
      </c>
      <c r="W67" s="2" t="s">
        <v>2</v>
      </c>
    </row>
    <row r="68" spans="1:23" ht="24" customHeight="1" x14ac:dyDescent="0.3">
      <c r="A68" s="2" t="s">
        <v>373</v>
      </c>
      <c r="B68" s="11"/>
      <c r="C68" s="11"/>
      <c r="D68" s="2" t="s">
        <v>1382</v>
      </c>
      <c r="E68" s="2" t="s">
        <v>1383</v>
      </c>
      <c r="F68" s="2" t="s">
        <v>1384</v>
      </c>
      <c r="G68" s="2" t="s">
        <v>2</v>
      </c>
      <c r="H68" s="2" t="s">
        <v>2</v>
      </c>
      <c r="I68" s="2" t="s">
        <v>2</v>
      </c>
      <c r="J68" s="2" t="s">
        <v>28</v>
      </c>
      <c r="K68" s="3">
        <v>0</v>
      </c>
      <c r="L68" s="3">
        <v>0</v>
      </c>
      <c r="M68" s="3">
        <v>0</v>
      </c>
      <c r="N68" s="3">
        <v>2</v>
      </c>
      <c r="O68" s="4">
        <v>0</v>
      </c>
      <c r="P68" s="4">
        <v>0</v>
      </c>
      <c r="Q68" s="4">
        <v>0</v>
      </c>
      <c r="R68" s="4">
        <v>27.4</v>
      </c>
      <c r="S68" s="4">
        <v>34309.4</v>
      </c>
      <c r="T68" s="2" t="s">
        <v>1385</v>
      </c>
      <c r="U68" s="2" t="s">
        <v>1386</v>
      </c>
      <c r="V68" s="2" t="s">
        <v>2</v>
      </c>
      <c r="W68" s="2" t="s">
        <v>2</v>
      </c>
    </row>
    <row r="69" spans="1:23" ht="24" customHeight="1" x14ac:dyDescent="0.3">
      <c r="A69" s="2" t="s">
        <v>374</v>
      </c>
      <c r="B69" s="11"/>
      <c r="C69" s="11"/>
      <c r="D69" s="2" t="s">
        <v>1387</v>
      </c>
      <c r="E69" s="2" t="s">
        <v>1388</v>
      </c>
      <c r="F69" s="2" t="s">
        <v>1389</v>
      </c>
      <c r="G69" s="2" t="s">
        <v>2</v>
      </c>
      <c r="H69" s="2" t="s">
        <v>2</v>
      </c>
      <c r="I69" s="2" t="s">
        <v>1305</v>
      </c>
      <c r="J69" s="2" t="s">
        <v>2</v>
      </c>
      <c r="K69" s="3">
        <v>0</v>
      </c>
      <c r="L69" s="3">
        <v>0</v>
      </c>
      <c r="M69" s="3">
        <v>3</v>
      </c>
      <c r="N69" s="3">
        <v>0</v>
      </c>
      <c r="O69" s="4">
        <v>0</v>
      </c>
      <c r="P69" s="4">
        <v>0</v>
      </c>
      <c r="Q69" s="4">
        <v>30.3</v>
      </c>
      <c r="R69" s="4">
        <v>0</v>
      </c>
      <c r="S69" s="4">
        <v>18.600000000000001</v>
      </c>
      <c r="T69" s="2" t="s">
        <v>1390</v>
      </c>
      <c r="U69" s="2" t="s">
        <v>689</v>
      </c>
      <c r="V69" s="2" t="s">
        <v>2</v>
      </c>
      <c r="W69" s="2" t="s">
        <v>2</v>
      </c>
    </row>
    <row r="70" spans="1:23" ht="24" customHeight="1" x14ac:dyDescent="0.3">
      <c r="A70" s="2" t="s">
        <v>374</v>
      </c>
      <c r="B70" s="11"/>
      <c r="C70" s="11"/>
      <c r="D70" s="2" t="s">
        <v>1387</v>
      </c>
      <c r="E70" s="2" t="s">
        <v>1388</v>
      </c>
      <c r="F70" s="2" t="s">
        <v>1389</v>
      </c>
      <c r="G70" s="2" t="s">
        <v>63</v>
      </c>
      <c r="H70" s="2" t="s">
        <v>2</v>
      </c>
      <c r="I70" s="2" t="s">
        <v>2</v>
      </c>
      <c r="J70" s="2" t="s">
        <v>2</v>
      </c>
      <c r="K70" s="3">
        <v>9</v>
      </c>
      <c r="L70" s="3">
        <v>0</v>
      </c>
      <c r="M70" s="3">
        <v>0</v>
      </c>
      <c r="N70" s="3">
        <v>0</v>
      </c>
      <c r="O70" s="4">
        <v>56.4</v>
      </c>
      <c r="P70" s="4">
        <v>0</v>
      </c>
      <c r="Q70" s="4">
        <v>0</v>
      </c>
      <c r="R70" s="4">
        <v>0</v>
      </c>
      <c r="S70" s="4">
        <v>4038.5</v>
      </c>
      <c r="T70" s="2" t="s">
        <v>1390</v>
      </c>
      <c r="U70" s="2" t="s">
        <v>1391</v>
      </c>
      <c r="V70" s="2" t="s">
        <v>2</v>
      </c>
      <c r="W70" s="2" t="s">
        <v>2</v>
      </c>
    </row>
    <row r="71" spans="1:23" ht="24" customHeight="1" x14ac:dyDescent="0.3">
      <c r="A71" s="2" t="s">
        <v>375</v>
      </c>
      <c r="B71" s="11"/>
      <c r="C71" s="11"/>
      <c r="D71" s="2" t="s">
        <v>1392</v>
      </c>
      <c r="E71" s="2" t="s">
        <v>1393</v>
      </c>
      <c r="F71" s="2" t="s">
        <v>1394</v>
      </c>
      <c r="G71" s="2" t="s">
        <v>2</v>
      </c>
      <c r="H71" s="2" t="s">
        <v>2</v>
      </c>
      <c r="I71" s="2" t="s">
        <v>2</v>
      </c>
      <c r="J71" s="2" t="s">
        <v>28</v>
      </c>
      <c r="K71" s="3">
        <v>0</v>
      </c>
      <c r="L71" s="3">
        <v>0</v>
      </c>
      <c r="M71" s="3">
        <v>0</v>
      </c>
      <c r="N71" s="3">
        <v>2</v>
      </c>
      <c r="O71" s="4">
        <v>0</v>
      </c>
      <c r="P71" s="4">
        <v>0</v>
      </c>
      <c r="Q71" s="4">
        <v>0</v>
      </c>
      <c r="R71" s="4">
        <v>1.8</v>
      </c>
      <c r="S71" s="4">
        <v>0</v>
      </c>
      <c r="T71" s="2" t="s">
        <v>1395</v>
      </c>
      <c r="U71" s="2" t="s">
        <v>1396</v>
      </c>
      <c r="V71" s="2" t="s">
        <v>2</v>
      </c>
      <c r="W71" s="2" t="s">
        <v>2</v>
      </c>
    </row>
    <row r="72" spans="1:23" ht="24" customHeight="1" x14ac:dyDescent="0.3">
      <c r="A72" s="2" t="s">
        <v>375</v>
      </c>
      <c r="B72" s="11"/>
      <c r="C72" s="11"/>
      <c r="D72" s="2" t="s">
        <v>1392</v>
      </c>
      <c r="E72" s="2" t="s">
        <v>1393</v>
      </c>
      <c r="F72" s="2" t="s">
        <v>1394</v>
      </c>
      <c r="G72" s="2" t="s">
        <v>2</v>
      </c>
      <c r="H72" s="2" t="s">
        <v>2</v>
      </c>
      <c r="I72" s="2" t="s">
        <v>1305</v>
      </c>
      <c r="J72" s="2" t="s">
        <v>2</v>
      </c>
      <c r="K72" s="3">
        <v>0</v>
      </c>
      <c r="L72" s="3">
        <v>0</v>
      </c>
      <c r="M72" s="3">
        <v>3</v>
      </c>
      <c r="N72" s="3">
        <v>0</v>
      </c>
      <c r="O72" s="4">
        <v>0</v>
      </c>
      <c r="P72" s="4">
        <v>0</v>
      </c>
      <c r="Q72" s="4">
        <v>27.1</v>
      </c>
      <c r="R72" s="4">
        <v>0</v>
      </c>
      <c r="S72" s="4">
        <v>4778.8</v>
      </c>
      <c r="T72" s="2" t="s">
        <v>1395</v>
      </c>
      <c r="U72" s="2" t="s">
        <v>1397</v>
      </c>
      <c r="V72" s="2" t="s">
        <v>2</v>
      </c>
      <c r="W72" s="2" t="s">
        <v>2</v>
      </c>
    </row>
    <row r="73" spans="1:23" ht="24" customHeight="1" x14ac:dyDescent="0.3">
      <c r="A73" s="2" t="s">
        <v>359</v>
      </c>
      <c r="B73" s="11"/>
      <c r="C73" s="11" t="s">
        <v>603</v>
      </c>
      <c r="D73" s="2" t="s">
        <v>1398</v>
      </c>
      <c r="E73" s="2" t="s">
        <v>1399</v>
      </c>
      <c r="F73" s="2" t="s">
        <v>1400</v>
      </c>
      <c r="G73" s="2" t="s">
        <v>2</v>
      </c>
      <c r="H73" s="2" t="s">
        <v>2</v>
      </c>
      <c r="I73" s="2" t="s">
        <v>27</v>
      </c>
      <c r="J73" s="2" t="s">
        <v>2</v>
      </c>
      <c r="K73" s="3">
        <v>0</v>
      </c>
      <c r="L73" s="3">
        <v>0</v>
      </c>
      <c r="M73" s="3">
        <v>3</v>
      </c>
      <c r="N73" s="3">
        <v>0</v>
      </c>
      <c r="O73" s="4">
        <v>0</v>
      </c>
      <c r="P73" s="4">
        <v>0</v>
      </c>
      <c r="Q73" s="4">
        <v>10.4</v>
      </c>
      <c r="R73" s="4">
        <v>0</v>
      </c>
      <c r="S73" s="4">
        <v>56</v>
      </c>
      <c r="T73" s="2" t="s">
        <v>1401</v>
      </c>
      <c r="U73" s="2" t="s">
        <v>1402</v>
      </c>
      <c r="V73" s="2" t="s">
        <v>2</v>
      </c>
      <c r="W73" s="2" t="s">
        <v>2</v>
      </c>
    </row>
    <row r="74" spans="1:23" ht="24" customHeight="1" x14ac:dyDescent="0.3">
      <c r="A74" s="2" t="s">
        <v>376</v>
      </c>
      <c r="B74" s="11"/>
      <c r="C74" s="11"/>
      <c r="D74" s="2" t="s">
        <v>1403</v>
      </c>
      <c r="E74" s="2" t="s">
        <v>1404</v>
      </c>
      <c r="F74" s="2" t="s">
        <v>1405</v>
      </c>
      <c r="G74" s="2" t="s">
        <v>2</v>
      </c>
      <c r="H74" s="2" t="s">
        <v>2</v>
      </c>
      <c r="I74" s="2" t="s">
        <v>27</v>
      </c>
      <c r="J74" s="2" t="s">
        <v>2</v>
      </c>
      <c r="K74" s="3">
        <v>0</v>
      </c>
      <c r="L74" s="3">
        <v>0</v>
      </c>
      <c r="M74" s="3">
        <v>1</v>
      </c>
      <c r="N74" s="3">
        <v>0</v>
      </c>
      <c r="O74" s="4">
        <v>0</v>
      </c>
      <c r="P74" s="4">
        <v>0</v>
      </c>
      <c r="Q74" s="4">
        <v>3.1</v>
      </c>
      <c r="R74" s="4">
        <v>0</v>
      </c>
      <c r="S74" s="4">
        <v>54.8</v>
      </c>
      <c r="T74" s="2" t="s">
        <v>1406</v>
      </c>
      <c r="U74" s="2" t="s">
        <v>1407</v>
      </c>
      <c r="V74" s="2" t="s">
        <v>957</v>
      </c>
      <c r="W74" s="2" t="s">
        <v>980</v>
      </c>
    </row>
    <row r="75" spans="1:23" ht="24" customHeight="1" x14ac:dyDescent="0.3">
      <c r="A75" s="2" t="s">
        <v>536</v>
      </c>
      <c r="B75" s="11"/>
      <c r="C75" s="11"/>
      <c r="D75" s="2" t="s">
        <v>1408</v>
      </c>
      <c r="E75" s="2" t="s">
        <v>1409</v>
      </c>
      <c r="F75" s="2" t="s">
        <v>1410</v>
      </c>
      <c r="G75" s="2" t="s">
        <v>2</v>
      </c>
      <c r="H75" s="2" t="s">
        <v>2</v>
      </c>
      <c r="I75" s="2" t="s">
        <v>27</v>
      </c>
      <c r="J75" s="2" t="s">
        <v>2</v>
      </c>
      <c r="K75" s="3">
        <v>0</v>
      </c>
      <c r="L75" s="3">
        <v>0</v>
      </c>
      <c r="M75" s="3">
        <v>3</v>
      </c>
      <c r="N75" s="3">
        <v>0</v>
      </c>
      <c r="O75" s="4">
        <v>0</v>
      </c>
      <c r="P75" s="4">
        <v>0</v>
      </c>
      <c r="Q75" s="4">
        <v>7</v>
      </c>
      <c r="R75" s="4">
        <v>0</v>
      </c>
      <c r="S75" s="4">
        <v>334.2</v>
      </c>
      <c r="T75" s="2" t="s">
        <v>1411</v>
      </c>
      <c r="U75" s="2" t="s">
        <v>945</v>
      </c>
      <c r="V75" s="2" t="s">
        <v>2</v>
      </c>
      <c r="W75" s="2" t="s">
        <v>2</v>
      </c>
    </row>
    <row r="76" spans="1:23" ht="24" customHeight="1" x14ac:dyDescent="0.3">
      <c r="A76" s="2" t="s">
        <v>537</v>
      </c>
      <c r="B76" s="11"/>
      <c r="C76" s="11"/>
      <c r="D76" s="2" t="s">
        <v>1412</v>
      </c>
      <c r="E76" s="2" t="s">
        <v>1413</v>
      </c>
      <c r="F76" s="2" t="s">
        <v>1414</v>
      </c>
      <c r="G76" s="2" t="s">
        <v>2</v>
      </c>
      <c r="H76" s="2" t="s">
        <v>2</v>
      </c>
      <c r="I76" s="2" t="s">
        <v>27</v>
      </c>
      <c r="J76" s="2" t="s">
        <v>2</v>
      </c>
      <c r="K76" s="3">
        <v>0</v>
      </c>
      <c r="L76" s="3">
        <v>0</v>
      </c>
      <c r="M76" s="3">
        <v>2</v>
      </c>
      <c r="N76" s="3">
        <v>0</v>
      </c>
      <c r="O76" s="4">
        <v>0</v>
      </c>
      <c r="P76" s="4">
        <v>0</v>
      </c>
      <c r="Q76" s="4">
        <v>4.5</v>
      </c>
      <c r="R76" s="4">
        <v>0</v>
      </c>
      <c r="S76" s="4">
        <v>144.19999999999999</v>
      </c>
      <c r="T76" s="2" t="s">
        <v>1415</v>
      </c>
      <c r="U76" s="2" t="s">
        <v>533</v>
      </c>
      <c r="V76" s="2" t="s">
        <v>2</v>
      </c>
      <c r="W76" s="2" t="s">
        <v>2</v>
      </c>
    </row>
    <row r="77" spans="1:23" ht="24" customHeight="1" x14ac:dyDescent="0.3">
      <c r="A77" s="2" t="s">
        <v>538</v>
      </c>
      <c r="B77" s="11"/>
      <c r="C77" s="11"/>
      <c r="D77" s="2" t="s">
        <v>1416</v>
      </c>
      <c r="E77" s="2" t="s">
        <v>1417</v>
      </c>
      <c r="F77" s="2" t="s">
        <v>1418</v>
      </c>
      <c r="G77" s="2" t="s">
        <v>2</v>
      </c>
      <c r="H77" s="2" t="s">
        <v>2</v>
      </c>
      <c r="I77" s="2" t="s">
        <v>27</v>
      </c>
      <c r="J77" s="2" t="s">
        <v>2</v>
      </c>
      <c r="K77" s="3">
        <v>0</v>
      </c>
      <c r="L77" s="3">
        <v>0</v>
      </c>
      <c r="M77" s="3">
        <v>3</v>
      </c>
      <c r="N77" s="3">
        <v>0</v>
      </c>
      <c r="O77" s="4">
        <v>0</v>
      </c>
      <c r="P77" s="4">
        <v>0</v>
      </c>
      <c r="Q77" s="4">
        <v>10.5</v>
      </c>
      <c r="R77" s="4">
        <v>0</v>
      </c>
      <c r="S77" s="4">
        <v>5302.1</v>
      </c>
      <c r="T77" s="2" t="s">
        <v>1419</v>
      </c>
      <c r="U77" s="2" t="s">
        <v>482</v>
      </c>
      <c r="V77" s="2" t="s">
        <v>2</v>
      </c>
      <c r="W77" s="2" t="s">
        <v>2</v>
      </c>
    </row>
    <row r="78" spans="1:23" ht="24" customHeight="1" x14ac:dyDescent="0.3">
      <c r="A78" s="2" t="s">
        <v>539</v>
      </c>
      <c r="B78" s="11"/>
      <c r="C78" s="11"/>
      <c r="D78" s="2" t="s">
        <v>1420</v>
      </c>
      <c r="E78" s="2" t="s">
        <v>1421</v>
      </c>
      <c r="F78" s="2" t="s">
        <v>1422</v>
      </c>
      <c r="G78" s="2" t="s">
        <v>2</v>
      </c>
      <c r="H78" s="2" t="s">
        <v>2</v>
      </c>
      <c r="I78" s="2" t="s">
        <v>27</v>
      </c>
      <c r="J78" s="2" t="s">
        <v>2</v>
      </c>
      <c r="K78" s="3">
        <v>0</v>
      </c>
      <c r="L78" s="3">
        <v>0</v>
      </c>
      <c r="M78" s="3">
        <v>3</v>
      </c>
      <c r="N78" s="3">
        <v>0</v>
      </c>
      <c r="O78" s="4">
        <v>0</v>
      </c>
      <c r="P78" s="4">
        <v>0</v>
      </c>
      <c r="Q78" s="4">
        <v>5.5</v>
      </c>
      <c r="R78" s="4">
        <v>0</v>
      </c>
      <c r="S78" s="4">
        <v>83.4</v>
      </c>
      <c r="T78" s="2" t="s">
        <v>1406</v>
      </c>
      <c r="U78" s="2" t="s">
        <v>1423</v>
      </c>
      <c r="V78" s="2" t="s">
        <v>957</v>
      </c>
      <c r="W78" s="2" t="s">
        <v>980</v>
      </c>
    </row>
    <row r="79" spans="1:23" ht="24" customHeight="1" x14ac:dyDescent="0.3">
      <c r="A79" s="2" t="s">
        <v>540</v>
      </c>
      <c r="B79" s="11"/>
      <c r="C79" s="11"/>
      <c r="D79" s="2" t="s">
        <v>1424</v>
      </c>
      <c r="E79" s="2" t="s">
        <v>1425</v>
      </c>
      <c r="F79" s="2" t="s">
        <v>1426</v>
      </c>
      <c r="G79" s="2" t="s">
        <v>2</v>
      </c>
      <c r="H79" s="2" t="s">
        <v>2</v>
      </c>
      <c r="I79" s="2" t="s">
        <v>27</v>
      </c>
      <c r="J79" s="2" t="s">
        <v>2</v>
      </c>
      <c r="K79" s="3">
        <v>0</v>
      </c>
      <c r="L79" s="3">
        <v>0</v>
      </c>
      <c r="M79" s="3">
        <v>8</v>
      </c>
      <c r="N79" s="3">
        <v>0</v>
      </c>
      <c r="O79" s="4">
        <v>0</v>
      </c>
      <c r="P79" s="4">
        <v>0</v>
      </c>
      <c r="Q79" s="4">
        <v>46.6</v>
      </c>
      <c r="R79" s="4">
        <v>0</v>
      </c>
      <c r="S79" s="4">
        <v>20852.3</v>
      </c>
      <c r="T79" s="2" t="s">
        <v>1427</v>
      </c>
      <c r="U79" s="2" t="s">
        <v>1428</v>
      </c>
      <c r="V79" s="2" t="s">
        <v>2</v>
      </c>
      <c r="W79" s="2" t="s">
        <v>2</v>
      </c>
    </row>
    <row r="80" spans="1:23" ht="24" customHeight="1" x14ac:dyDescent="0.3">
      <c r="A80" s="2" t="s">
        <v>541</v>
      </c>
      <c r="B80" s="11"/>
      <c r="C80" s="11"/>
      <c r="D80" s="2" t="s">
        <v>1429</v>
      </c>
      <c r="E80" s="2" t="s">
        <v>1430</v>
      </c>
      <c r="F80" s="2" t="s">
        <v>1431</v>
      </c>
      <c r="G80" s="2" t="s">
        <v>26</v>
      </c>
      <c r="H80" s="2" t="s">
        <v>2</v>
      </c>
      <c r="I80" s="2" t="s">
        <v>2</v>
      </c>
      <c r="J80" s="2" t="s">
        <v>2</v>
      </c>
      <c r="K80" s="3">
        <v>16</v>
      </c>
      <c r="L80" s="3">
        <v>0</v>
      </c>
      <c r="M80" s="3">
        <v>0</v>
      </c>
      <c r="N80" s="3">
        <v>0</v>
      </c>
      <c r="O80" s="4">
        <v>47.5</v>
      </c>
      <c r="P80" s="4">
        <v>0</v>
      </c>
      <c r="Q80" s="4">
        <v>0</v>
      </c>
      <c r="R80" s="4">
        <v>0</v>
      </c>
      <c r="S80" s="4">
        <v>3729.5</v>
      </c>
      <c r="T80" s="2" t="s">
        <v>1432</v>
      </c>
      <c r="U80" s="2" t="s">
        <v>1433</v>
      </c>
      <c r="V80" s="2" t="s">
        <v>2</v>
      </c>
      <c r="W80" s="2" t="s">
        <v>2</v>
      </c>
    </row>
    <row r="81" spans="1:23" ht="24" customHeight="1" x14ac:dyDescent="0.3">
      <c r="A81" s="2" t="s">
        <v>542</v>
      </c>
      <c r="B81" s="11"/>
      <c r="C81" s="11"/>
      <c r="D81" s="2" t="s">
        <v>1434</v>
      </c>
      <c r="E81" s="2" t="s">
        <v>1435</v>
      </c>
      <c r="F81" s="2" t="s">
        <v>1436</v>
      </c>
      <c r="G81" s="2" t="s">
        <v>26</v>
      </c>
      <c r="H81" s="2" t="s">
        <v>2</v>
      </c>
      <c r="I81" s="2" t="s">
        <v>2</v>
      </c>
      <c r="J81" s="2" t="s">
        <v>2</v>
      </c>
      <c r="K81" s="3">
        <v>27</v>
      </c>
      <c r="L81" s="3">
        <v>0</v>
      </c>
      <c r="M81" s="3">
        <v>0</v>
      </c>
      <c r="N81" s="3">
        <v>0</v>
      </c>
      <c r="O81" s="4">
        <v>88.8</v>
      </c>
      <c r="P81" s="4">
        <v>0</v>
      </c>
      <c r="Q81" s="4">
        <v>0</v>
      </c>
      <c r="R81" s="4">
        <v>0</v>
      </c>
      <c r="S81" s="4">
        <v>15708.6</v>
      </c>
      <c r="T81" s="2" t="s">
        <v>1437</v>
      </c>
      <c r="U81" s="2" t="s">
        <v>1438</v>
      </c>
      <c r="V81" s="2" t="s">
        <v>2</v>
      </c>
      <c r="W81" s="2" t="s">
        <v>2</v>
      </c>
    </row>
    <row r="82" spans="1:23" ht="24" customHeight="1" x14ac:dyDescent="0.3">
      <c r="A82" s="2" t="s">
        <v>544</v>
      </c>
      <c r="B82" s="11"/>
      <c r="C82" s="11"/>
      <c r="D82" s="2" t="s">
        <v>1439</v>
      </c>
      <c r="E82" s="2" t="s">
        <v>1440</v>
      </c>
      <c r="F82" s="2" t="s">
        <v>1441</v>
      </c>
      <c r="G82" s="2" t="s">
        <v>26</v>
      </c>
      <c r="H82" s="2" t="s">
        <v>2</v>
      </c>
      <c r="I82" s="2" t="s">
        <v>2</v>
      </c>
      <c r="J82" s="2" t="s">
        <v>2</v>
      </c>
      <c r="K82" s="3">
        <v>25</v>
      </c>
      <c r="L82" s="3">
        <v>0</v>
      </c>
      <c r="M82" s="3">
        <v>0</v>
      </c>
      <c r="N82" s="3">
        <v>0</v>
      </c>
      <c r="O82" s="4">
        <v>89.1</v>
      </c>
      <c r="P82" s="4">
        <v>0</v>
      </c>
      <c r="Q82" s="4">
        <v>0</v>
      </c>
      <c r="R82" s="4">
        <v>0</v>
      </c>
      <c r="S82" s="4">
        <v>14053.4</v>
      </c>
      <c r="T82" s="2" t="s">
        <v>1442</v>
      </c>
      <c r="U82" s="2" t="s">
        <v>1443</v>
      </c>
      <c r="V82" s="2" t="s">
        <v>2</v>
      </c>
      <c r="W82" s="2" t="s">
        <v>2</v>
      </c>
    </row>
    <row r="83" spans="1:23" ht="24" customHeight="1" x14ac:dyDescent="0.3">
      <c r="A83" s="2" t="s">
        <v>545</v>
      </c>
      <c r="B83" s="11"/>
      <c r="C83" s="11"/>
      <c r="D83" s="2" t="s">
        <v>1444</v>
      </c>
      <c r="E83" s="2" t="s">
        <v>1445</v>
      </c>
      <c r="F83" s="2" t="s">
        <v>1446</v>
      </c>
      <c r="G83" s="2" t="s">
        <v>26</v>
      </c>
      <c r="H83" s="2" t="s">
        <v>2</v>
      </c>
      <c r="I83" s="2" t="s">
        <v>2</v>
      </c>
      <c r="J83" s="2" t="s">
        <v>2</v>
      </c>
      <c r="K83" s="3">
        <v>7</v>
      </c>
      <c r="L83" s="3">
        <v>0</v>
      </c>
      <c r="M83" s="3">
        <v>0</v>
      </c>
      <c r="N83" s="3">
        <v>0</v>
      </c>
      <c r="O83" s="4">
        <v>35.700000000000003</v>
      </c>
      <c r="P83" s="4">
        <v>0</v>
      </c>
      <c r="Q83" s="4">
        <v>0</v>
      </c>
      <c r="R83" s="4">
        <v>0</v>
      </c>
      <c r="S83" s="4">
        <v>4217</v>
      </c>
      <c r="T83" s="2" t="s">
        <v>1447</v>
      </c>
      <c r="U83" s="2" t="s">
        <v>1448</v>
      </c>
      <c r="V83" s="2" t="s">
        <v>2</v>
      </c>
      <c r="W83" s="2" t="s">
        <v>2</v>
      </c>
    </row>
    <row r="84" spans="1:23" ht="24" customHeight="1" x14ac:dyDescent="0.3">
      <c r="A84" s="2" t="s">
        <v>364</v>
      </c>
      <c r="B84" s="11"/>
      <c r="C84" s="11"/>
      <c r="D84" s="2" t="s">
        <v>1449</v>
      </c>
      <c r="E84" s="2" t="s">
        <v>1450</v>
      </c>
      <c r="F84" s="2" t="s">
        <v>1451</v>
      </c>
      <c r="G84" s="2" t="s">
        <v>26</v>
      </c>
      <c r="H84" s="2" t="s">
        <v>2</v>
      </c>
      <c r="I84" s="2" t="s">
        <v>2</v>
      </c>
      <c r="J84" s="2" t="s">
        <v>2</v>
      </c>
      <c r="K84" s="3">
        <v>12</v>
      </c>
      <c r="L84" s="3">
        <v>0</v>
      </c>
      <c r="M84" s="3">
        <v>0</v>
      </c>
      <c r="N84" s="3">
        <v>0</v>
      </c>
      <c r="O84" s="4">
        <v>55.7</v>
      </c>
      <c r="P84" s="4">
        <v>0</v>
      </c>
      <c r="Q84" s="4">
        <v>0</v>
      </c>
      <c r="R84" s="4">
        <v>0</v>
      </c>
      <c r="S84" s="4">
        <v>4179.3999999999996</v>
      </c>
      <c r="T84" s="2" t="s">
        <v>1452</v>
      </c>
      <c r="U84" s="2" t="s">
        <v>1453</v>
      </c>
      <c r="V84" s="2" t="s">
        <v>2</v>
      </c>
      <c r="W84" s="2" t="s">
        <v>2</v>
      </c>
    </row>
    <row r="85" spans="1:23" ht="24" customHeight="1" x14ac:dyDescent="0.3">
      <c r="A85" s="2" t="s">
        <v>546</v>
      </c>
      <c r="B85" s="11"/>
      <c r="C85" s="11"/>
      <c r="D85" s="2" t="s">
        <v>1454</v>
      </c>
      <c r="E85" s="2" t="s">
        <v>1455</v>
      </c>
      <c r="F85" s="2" t="s">
        <v>1456</v>
      </c>
      <c r="G85" s="2" t="s">
        <v>26</v>
      </c>
      <c r="H85" s="2" t="s">
        <v>2</v>
      </c>
      <c r="I85" s="2" t="s">
        <v>2</v>
      </c>
      <c r="J85" s="2" t="s">
        <v>2</v>
      </c>
      <c r="K85" s="3">
        <v>6</v>
      </c>
      <c r="L85" s="3">
        <v>0</v>
      </c>
      <c r="M85" s="3">
        <v>0</v>
      </c>
      <c r="N85" s="3">
        <v>0</v>
      </c>
      <c r="O85" s="4">
        <v>30.5</v>
      </c>
      <c r="P85" s="4">
        <v>0</v>
      </c>
      <c r="Q85" s="4">
        <v>0</v>
      </c>
      <c r="R85" s="4">
        <v>0</v>
      </c>
      <c r="S85" s="4">
        <v>2012.6</v>
      </c>
      <c r="T85" s="2" t="s">
        <v>1457</v>
      </c>
      <c r="U85" s="2" t="s">
        <v>1458</v>
      </c>
      <c r="V85" s="2" t="s">
        <v>2</v>
      </c>
      <c r="W85" s="2" t="s">
        <v>2</v>
      </c>
    </row>
    <row r="86" spans="1:23" ht="24" customHeight="1" x14ac:dyDescent="0.3">
      <c r="A86" s="2" t="s">
        <v>547</v>
      </c>
      <c r="B86" s="11"/>
      <c r="C86" s="11"/>
      <c r="D86" s="2" t="s">
        <v>1459</v>
      </c>
      <c r="E86" s="2" t="s">
        <v>1460</v>
      </c>
      <c r="F86" s="2" t="s">
        <v>1461</v>
      </c>
      <c r="G86" s="2" t="s">
        <v>2</v>
      </c>
      <c r="H86" s="2" t="s">
        <v>196</v>
      </c>
      <c r="I86" s="2" t="s">
        <v>2</v>
      </c>
      <c r="J86" s="2" t="s">
        <v>2</v>
      </c>
      <c r="K86" s="3">
        <v>0</v>
      </c>
      <c r="L86" s="3">
        <v>3</v>
      </c>
      <c r="M86" s="3">
        <v>0</v>
      </c>
      <c r="N86" s="3">
        <v>0</v>
      </c>
      <c r="O86" s="4">
        <v>0</v>
      </c>
      <c r="P86" s="4">
        <v>12.8</v>
      </c>
      <c r="Q86" s="4">
        <v>0</v>
      </c>
      <c r="R86" s="4">
        <v>0</v>
      </c>
      <c r="S86" s="4">
        <v>712.7</v>
      </c>
      <c r="T86" s="2" t="s">
        <v>1462</v>
      </c>
      <c r="U86" s="2" t="s">
        <v>1463</v>
      </c>
      <c r="V86" s="2" t="s">
        <v>2</v>
      </c>
      <c r="W86" s="2" t="s">
        <v>2</v>
      </c>
    </row>
    <row r="87" spans="1:23" ht="24" customHeight="1" x14ac:dyDescent="0.3">
      <c r="A87" s="2" t="s">
        <v>548</v>
      </c>
      <c r="B87" s="11"/>
      <c r="C87" s="11"/>
      <c r="D87" s="2" t="s">
        <v>1464</v>
      </c>
      <c r="E87" s="2" t="s">
        <v>1465</v>
      </c>
      <c r="F87" s="2" t="s">
        <v>1466</v>
      </c>
      <c r="G87" s="2" t="s">
        <v>2</v>
      </c>
      <c r="H87" s="2" t="s">
        <v>2</v>
      </c>
      <c r="I87" s="2" t="s">
        <v>2</v>
      </c>
      <c r="J87" s="2" t="s">
        <v>1008</v>
      </c>
      <c r="K87" s="3">
        <v>0</v>
      </c>
      <c r="L87" s="3">
        <v>0</v>
      </c>
      <c r="M87" s="3">
        <v>0</v>
      </c>
      <c r="N87" s="3">
        <v>2</v>
      </c>
      <c r="O87" s="4">
        <v>0</v>
      </c>
      <c r="P87" s="4">
        <v>0</v>
      </c>
      <c r="Q87" s="4">
        <v>0</v>
      </c>
      <c r="R87" s="4">
        <v>6.4</v>
      </c>
      <c r="S87" s="4">
        <v>0</v>
      </c>
      <c r="T87" s="2" t="s">
        <v>1419</v>
      </c>
      <c r="U87" s="2" t="s">
        <v>1467</v>
      </c>
      <c r="V87" s="2" t="s">
        <v>2</v>
      </c>
      <c r="W87" s="2" t="s">
        <v>2</v>
      </c>
    </row>
    <row r="88" spans="1:23" ht="24" customHeight="1" x14ac:dyDescent="0.3">
      <c r="A88" s="2" t="s">
        <v>549</v>
      </c>
      <c r="B88" s="11"/>
      <c r="C88" s="11"/>
      <c r="D88" s="2" t="s">
        <v>1468</v>
      </c>
      <c r="E88" s="2" t="s">
        <v>1469</v>
      </c>
      <c r="F88" s="2" t="s">
        <v>1470</v>
      </c>
      <c r="G88" s="2" t="s">
        <v>2</v>
      </c>
      <c r="H88" s="2" t="s">
        <v>2</v>
      </c>
      <c r="I88" s="2" t="s">
        <v>2</v>
      </c>
      <c r="J88" s="2" t="s">
        <v>1008</v>
      </c>
      <c r="K88" s="3">
        <v>0</v>
      </c>
      <c r="L88" s="3">
        <v>0</v>
      </c>
      <c r="M88" s="3">
        <v>0</v>
      </c>
      <c r="N88" s="3">
        <v>5</v>
      </c>
      <c r="O88" s="4">
        <v>0</v>
      </c>
      <c r="P88" s="4">
        <v>0</v>
      </c>
      <c r="Q88" s="4">
        <v>0</v>
      </c>
      <c r="R88" s="4">
        <v>23</v>
      </c>
      <c r="S88" s="4">
        <v>5125.7</v>
      </c>
      <c r="T88" s="2" t="s">
        <v>1471</v>
      </c>
      <c r="U88" s="2" t="s">
        <v>1472</v>
      </c>
      <c r="V88" s="2" t="s">
        <v>2</v>
      </c>
      <c r="W88" s="2" t="s">
        <v>2</v>
      </c>
    </row>
    <row r="89" spans="1:23" ht="24" customHeight="1" x14ac:dyDescent="0.3">
      <c r="A89" s="2" t="s">
        <v>550</v>
      </c>
      <c r="B89" s="11"/>
      <c r="C89" s="11"/>
      <c r="D89" s="2" t="s">
        <v>1473</v>
      </c>
      <c r="E89" s="2" t="s">
        <v>1474</v>
      </c>
      <c r="F89" s="2" t="s">
        <v>1475</v>
      </c>
      <c r="G89" s="2" t="s">
        <v>2</v>
      </c>
      <c r="H89" s="2" t="s">
        <v>2</v>
      </c>
      <c r="I89" s="2" t="s">
        <v>2</v>
      </c>
      <c r="J89" s="2" t="s">
        <v>1008</v>
      </c>
      <c r="K89" s="3">
        <v>0</v>
      </c>
      <c r="L89" s="3">
        <v>0</v>
      </c>
      <c r="M89" s="3">
        <v>0</v>
      </c>
      <c r="N89" s="3">
        <v>2</v>
      </c>
      <c r="O89" s="4">
        <v>0</v>
      </c>
      <c r="P89" s="4">
        <v>0</v>
      </c>
      <c r="Q89" s="4">
        <v>0</v>
      </c>
      <c r="R89" s="4">
        <v>46</v>
      </c>
      <c r="S89" s="4">
        <v>0</v>
      </c>
      <c r="T89" s="2" t="s">
        <v>1476</v>
      </c>
      <c r="U89" s="2" t="s">
        <v>1477</v>
      </c>
      <c r="V89" s="2" t="s">
        <v>2</v>
      </c>
      <c r="W89" s="2" t="s">
        <v>2</v>
      </c>
    </row>
    <row r="90" spans="1:23" ht="24" customHeight="1" x14ac:dyDescent="0.3">
      <c r="A90" s="2" t="s">
        <v>552</v>
      </c>
      <c r="B90" s="11"/>
      <c r="C90" s="11"/>
      <c r="D90" s="2" t="s">
        <v>1478</v>
      </c>
      <c r="E90" s="2" t="s">
        <v>1479</v>
      </c>
      <c r="F90" s="2" t="s">
        <v>1480</v>
      </c>
      <c r="G90" s="2" t="s">
        <v>2</v>
      </c>
      <c r="H90" s="2" t="s">
        <v>2</v>
      </c>
      <c r="I90" s="2" t="s">
        <v>2</v>
      </c>
      <c r="J90" s="2" t="s">
        <v>1008</v>
      </c>
      <c r="K90" s="3">
        <v>0</v>
      </c>
      <c r="L90" s="3">
        <v>0</v>
      </c>
      <c r="M90" s="3">
        <v>0</v>
      </c>
      <c r="N90" s="3">
        <v>2</v>
      </c>
      <c r="O90" s="4">
        <v>0</v>
      </c>
      <c r="P90" s="4">
        <v>0</v>
      </c>
      <c r="Q90" s="4">
        <v>0</v>
      </c>
      <c r="R90" s="4">
        <v>49.5</v>
      </c>
      <c r="S90" s="4">
        <v>43691.199999999997</v>
      </c>
      <c r="T90" s="2" t="s">
        <v>1481</v>
      </c>
      <c r="U90" s="2" t="s">
        <v>1482</v>
      </c>
      <c r="V90" s="2" t="s">
        <v>2</v>
      </c>
      <c r="W90" s="2" t="s">
        <v>2</v>
      </c>
    </row>
    <row r="91" spans="1:23" ht="24" customHeight="1" x14ac:dyDescent="0.3">
      <c r="A91" s="2" t="s">
        <v>553</v>
      </c>
      <c r="B91" s="11"/>
      <c r="C91" s="11"/>
      <c r="D91" s="2" t="s">
        <v>1483</v>
      </c>
      <c r="E91" s="2" t="s">
        <v>1484</v>
      </c>
      <c r="F91" s="2" t="s">
        <v>1485</v>
      </c>
      <c r="G91" s="2" t="s">
        <v>2</v>
      </c>
      <c r="H91" s="2" t="s">
        <v>2</v>
      </c>
      <c r="I91" s="2" t="s">
        <v>2</v>
      </c>
      <c r="J91" s="2" t="s">
        <v>1008</v>
      </c>
      <c r="K91" s="3">
        <v>0</v>
      </c>
      <c r="L91" s="3">
        <v>0</v>
      </c>
      <c r="M91" s="3">
        <v>0</v>
      </c>
      <c r="N91" s="3">
        <v>2</v>
      </c>
      <c r="O91" s="4">
        <v>0</v>
      </c>
      <c r="P91" s="4">
        <v>0</v>
      </c>
      <c r="Q91" s="4">
        <v>0</v>
      </c>
      <c r="R91" s="4">
        <v>2</v>
      </c>
      <c r="S91" s="4">
        <v>0</v>
      </c>
      <c r="T91" s="2" t="s">
        <v>1486</v>
      </c>
      <c r="U91" s="2" t="s">
        <v>1026</v>
      </c>
      <c r="V91" s="2" t="s">
        <v>2</v>
      </c>
      <c r="W91" s="2" t="s">
        <v>2</v>
      </c>
    </row>
    <row r="92" spans="1:23" ht="24" customHeight="1" x14ac:dyDescent="0.3">
      <c r="A92" s="2" t="s">
        <v>554</v>
      </c>
      <c r="B92" s="11"/>
      <c r="C92" s="11"/>
      <c r="D92" s="2" t="s">
        <v>1487</v>
      </c>
      <c r="E92" s="2" t="s">
        <v>1488</v>
      </c>
      <c r="F92" s="2" t="s">
        <v>1489</v>
      </c>
      <c r="G92" s="2" t="s">
        <v>2</v>
      </c>
      <c r="H92" s="2" t="s">
        <v>2</v>
      </c>
      <c r="I92" s="2" t="s">
        <v>2</v>
      </c>
      <c r="J92" s="2" t="s">
        <v>1008</v>
      </c>
      <c r="K92" s="3">
        <v>0</v>
      </c>
      <c r="L92" s="3">
        <v>0</v>
      </c>
      <c r="M92" s="3">
        <v>0</v>
      </c>
      <c r="N92" s="3">
        <v>3</v>
      </c>
      <c r="O92" s="4">
        <v>0</v>
      </c>
      <c r="P92" s="4">
        <v>0</v>
      </c>
      <c r="Q92" s="4">
        <v>0</v>
      </c>
      <c r="R92" s="4">
        <v>5.6</v>
      </c>
      <c r="S92" s="4">
        <v>0</v>
      </c>
      <c r="T92" s="2" t="s">
        <v>1490</v>
      </c>
      <c r="U92" s="2" t="s">
        <v>1491</v>
      </c>
      <c r="V92" s="2" t="s">
        <v>860</v>
      </c>
      <c r="W92" s="2" t="s">
        <v>980</v>
      </c>
    </row>
    <row r="93" spans="1:23" ht="24" customHeight="1" x14ac:dyDescent="0.3">
      <c r="A93" s="2" t="s">
        <v>646</v>
      </c>
      <c r="B93" s="11"/>
      <c r="C93" s="11"/>
      <c r="D93" s="2" t="s">
        <v>1492</v>
      </c>
      <c r="E93" s="2" t="s">
        <v>1493</v>
      </c>
      <c r="F93" s="2" t="s">
        <v>1494</v>
      </c>
      <c r="G93" s="2" t="s">
        <v>2</v>
      </c>
      <c r="H93" s="2" t="s">
        <v>2</v>
      </c>
      <c r="I93" s="2" t="s">
        <v>2</v>
      </c>
      <c r="J93" s="2" t="s">
        <v>1008</v>
      </c>
      <c r="K93" s="3">
        <v>0</v>
      </c>
      <c r="L93" s="3">
        <v>0</v>
      </c>
      <c r="M93" s="3">
        <v>0</v>
      </c>
      <c r="N93" s="3">
        <v>2</v>
      </c>
      <c r="O93" s="4">
        <v>0</v>
      </c>
      <c r="P93" s="4">
        <v>0</v>
      </c>
      <c r="Q93" s="4">
        <v>0</v>
      </c>
      <c r="R93" s="4">
        <v>49.5</v>
      </c>
      <c r="S93" s="4">
        <v>0</v>
      </c>
      <c r="T93" s="2" t="s">
        <v>1495</v>
      </c>
      <c r="U93" s="2" t="s">
        <v>555</v>
      </c>
      <c r="V93" s="2" t="s">
        <v>2</v>
      </c>
      <c r="W93" s="2" t="s">
        <v>2</v>
      </c>
    </row>
    <row r="94" spans="1:23" ht="24" customHeight="1" x14ac:dyDescent="0.3">
      <c r="A94" s="2" t="s">
        <v>648</v>
      </c>
      <c r="B94" s="11"/>
      <c r="C94" s="11"/>
      <c r="D94" s="2" t="s">
        <v>1496</v>
      </c>
      <c r="E94" s="2" t="s">
        <v>1497</v>
      </c>
      <c r="F94" s="2" t="s">
        <v>1498</v>
      </c>
      <c r="G94" s="2" t="s">
        <v>2</v>
      </c>
      <c r="H94" s="2" t="s">
        <v>2</v>
      </c>
      <c r="I94" s="2" t="s">
        <v>2</v>
      </c>
      <c r="J94" s="2" t="s">
        <v>1008</v>
      </c>
      <c r="K94" s="3">
        <v>0</v>
      </c>
      <c r="L94" s="3">
        <v>0</v>
      </c>
      <c r="M94" s="3">
        <v>0</v>
      </c>
      <c r="N94" s="3">
        <v>2</v>
      </c>
      <c r="O94" s="4">
        <v>0</v>
      </c>
      <c r="P94" s="4">
        <v>0</v>
      </c>
      <c r="Q94" s="4">
        <v>0</v>
      </c>
      <c r="R94" s="4">
        <v>51</v>
      </c>
      <c r="S94" s="4">
        <v>11141.2</v>
      </c>
      <c r="T94" s="2" t="s">
        <v>1499</v>
      </c>
      <c r="U94" s="2" t="s">
        <v>1500</v>
      </c>
      <c r="V94" s="2" t="s">
        <v>2</v>
      </c>
      <c r="W94" s="2" t="s">
        <v>2</v>
      </c>
    </row>
    <row r="95" spans="1:23" ht="24" customHeight="1" x14ac:dyDescent="0.3">
      <c r="A95" s="2" t="s">
        <v>649</v>
      </c>
      <c r="B95" s="11"/>
      <c r="C95" s="11"/>
      <c r="D95" s="2" t="s">
        <v>1501</v>
      </c>
      <c r="E95" s="2" t="s">
        <v>1502</v>
      </c>
      <c r="F95" s="2" t="s">
        <v>1503</v>
      </c>
      <c r="G95" s="2" t="s">
        <v>2</v>
      </c>
      <c r="H95" s="2" t="s">
        <v>2</v>
      </c>
      <c r="I95" s="2" t="s">
        <v>2</v>
      </c>
      <c r="J95" s="2" t="s">
        <v>1008</v>
      </c>
      <c r="K95" s="3">
        <v>0</v>
      </c>
      <c r="L95" s="3">
        <v>0</v>
      </c>
      <c r="M95" s="3">
        <v>0</v>
      </c>
      <c r="N95" s="3">
        <v>2</v>
      </c>
      <c r="O95" s="4">
        <v>0</v>
      </c>
      <c r="P95" s="4">
        <v>0</v>
      </c>
      <c r="Q95" s="4">
        <v>0</v>
      </c>
      <c r="R95" s="4">
        <v>48</v>
      </c>
      <c r="S95" s="4">
        <v>11666.1</v>
      </c>
      <c r="T95" s="2" t="s">
        <v>1504</v>
      </c>
      <c r="U95" s="2" t="s">
        <v>1505</v>
      </c>
      <c r="V95" s="2" t="s">
        <v>2</v>
      </c>
      <c r="W95" s="2" t="s">
        <v>2</v>
      </c>
    </row>
    <row r="96" spans="1:23" ht="24" customHeight="1" x14ac:dyDescent="0.3">
      <c r="A96" s="2" t="s">
        <v>650</v>
      </c>
      <c r="B96" s="11"/>
      <c r="C96" s="11"/>
      <c r="D96" s="2" t="s">
        <v>1506</v>
      </c>
      <c r="E96" s="2" t="s">
        <v>1507</v>
      </c>
      <c r="F96" s="2" t="s">
        <v>1508</v>
      </c>
      <c r="G96" s="2" t="s">
        <v>2</v>
      </c>
      <c r="H96" s="2" t="s">
        <v>2</v>
      </c>
      <c r="I96" s="2" t="s">
        <v>27</v>
      </c>
      <c r="J96" s="2" t="s">
        <v>2</v>
      </c>
      <c r="K96" s="3">
        <v>0</v>
      </c>
      <c r="L96" s="3">
        <v>0</v>
      </c>
      <c r="M96" s="3">
        <v>6</v>
      </c>
      <c r="N96" s="3">
        <v>0</v>
      </c>
      <c r="O96" s="4">
        <v>0</v>
      </c>
      <c r="P96" s="4">
        <v>0</v>
      </c>
      <c r="Q96" s="4">
        <v>134</v>
      </c>
      <c r="R96" s="4">
        <v>0</v>
      </c>
      <c r="S96" s="4">
        <v>17508.099999999999</v>
      </c>
      <c r="T96" s="2" t="s">
        <v>1509</v>
      </c>
      <c r="U96" s="2" t="s">
        <v>485</v>
      </c>
      <c r="V96" s="2" t="s">
        <v>1093</v>
      </c>
      <c r="W96" s="2" t="s">
        <v>980</v>
      </c>
    </row>
    <row r="97" spans="1:23" ht="24" customHeight="1" x14ac:dyDescent="0.3">
      <c r="A97" s="2" t="s">
        <v>652</v>
      </c>
      <c r="B97" s="11"/>
      <c r="C97" s="11" t="s">
        <v>56</v>
      </c>
      <c r="D97" s="2" t="s">
        <v>1510</v>
      </c>
      <c r="E97" s="2" t="s">
        <v>1511</v>
      </c>
      <c r="F97" s="2" t="s">
        <v>1512</v>
      </c>
      <c r="G97" s="2" t="s">
        <v>2</v>
      </c>
      <c r="H97" s="2" t="s">
        <v>2</v>
      </c>
      <c r="I97" s="2" t="s">
        <v>2</v>
      </c>
      <c r="J97" s="2" t="s">
        <v>28</v>
      </c>
      <c r="K97" s="3">
        <v>0</v>
      </c>
      <c r="L97" s="3">
        <v>0</v>
      </c>
      <c r="M97" s="3">
        <v>0</v>
      </c>
      <c r="N97" s="3">
        <v>2</v>
      </c>
      <c r="O97" s="4">
        <v>0</v>
      </c>
      <c r="P97" s="4">
        <v>0</v>
      </c>
      <c r="Q97" s="4">
        <v>0</v>
      </c>
      <c r="R97" s="4">
        <v>26.5</v>
      </c>
      <c r="S97" s="4">
        <v>6.3</v>
      </c>
      <c r="T97" s="2" t="s">
        <v>1513</v>
      </c>
      <c r="U97" s="2" t="s">
        <v>1514</v>
      </c>
      <c r="V97" s="2" t="s">
        <v>2</v>
      </c>
      <c r="W97" s="2" t="s">
        <v>2</v>
      </c>
    </row>
    <row r="98" spans="1:23" ht="24" customHeight="1" x14ac:dyDescent="0.3">
      <c r="A98" s="2" t="s">
        <v>653</v>
      </c>
      <c r="B98" s="11"/>
      <c r="C98" s="11"/>
      <c r="D98" s="2" t="s">
        <v>1515</v>
      </c>
      <c r="E98" s="2" t="s">
        <v>1516</v>
      </c>
      <c r="F98" s="2" t="s">
        <v>1517</v>
      </c>
      <c r="G98" s="2" t="s">
        <v>2</v>
      </c>
      <c r="H98" s="2" t="s">
        <v>2</v>
      </c>
      <c r="I98" s="2" t="s">
        <v>2</v>
      </c>
      <c r="J98" s="2" t="s">
        <v>28</v>
      </c>
      <c r="K98" s="3">
        <v>0</v>
      </c>
      <c r="L98" s="3">
        <v>0</v>
      </c>
      <c r="M98" s="3">
        <v>0</v>
      </c>
      <c r="N98" s="3">
        <v>3</v>
      </c>
      <c r="O98" s="4">
        <v>0</v>
      </c>
      <c r="P98" s="4">
        <v>0</v>
      </c>
      <c r="Q98" s="4">
        <v>0</v>
      </c>
      <c r="R98" s="4">
        <v>78</v>
      </c>
      <c r="S98" s="4">
        <v>0</v>
      </c>
      <c r="T98" s="2" t="s">
        <v>2</v>
      </c>
      <c r="U98" s="2" t="s">
        <v>1518</v>
      </c>
      <c r="V98" s="2" t="s">
        <v>2</v>
      </c>
      <c r="W98" s="2" t="s">
        <v>2</v>
      </c>
    </row>
    <row r="99" spans="1:23" ht="24" customHeight="1" x14ac:dyDescent="0.3">
      <c r="A99" s="2" t="s">
        <v>655</v>
      </c>
      <c r="B99" s="11"/>
      <c r="C99" s="11"/>
      <c r="D99" s="2" t="s">
        <v>1519</v>
      </c>
      <c r="E99" s="2" t="s">
        <v>1520</v>
      </c>
      <c r="F99" s="2" t="s">
        <v>1521</v>
      </c>
      <c r="G99" s="2" t="s">
        <v>2</v>
      </c>
      <c r="H99" s="2" t="s">
        <v>2</v>
      </c>
      <c r="I99" s="2" t="s">
        <v>2</v>
      </c>
      <c r="J99" s="2" t="s">
        <v>28</v>
      </c>
      <c r="K99" s="3">
        <v>0</v>
      </c>
      <c r="L99" s="3">
        <v>0</v>
      </c>
      <c r="M99" s="3">
        <v>0</v>
      </c>
      <c r="N99" s="3">
        <v>3</v>
      </c>
      <c r="O99" s="4">
        <v>0</v>
      </c>
      <c r="P99" s="4">
        <v>0</v>
      </c>
      <c r="Q99" s="4">
        <v>0</v>
      </c>
      <c r="R99" s="4">
        <v>51</v>
      </c>
      <c r="S99" s="4">
        <v>0</v>
      </c>
      <c r="T99" s="2" t="s">
        <v>1522</v>
      </c>
      <c r="U99" s="2" t="s">
        <v>1523</v>
      </c>
      <c r="V99" s="2" t="s">
        <v>2</v>
      </c>
      <c r="W99" s="2" t="s">
        <v>2</v>
      </c>
    </row>
    <row r="100" spans="1:23" ht="24" customHeight="1" x14ac:dyDescent="0.3">
      <c r="A100" s="2" t="s">
        <v>656</v>
      </c>
      <c r="B100" s="11"/>
      <c r="C100" s="11"/>
      <c r="D100" s="2" t="s">
        <v>1524</v>
      </c>
      <c r="E100" s="2" t="s">
        <v>1525</v>
      </c>
      <c r="F100" s="2" t="s">
        <v>1526</v>
      </c>
      <c r="G100" s="2" t="s">
        <v>2</v>
      </c>
      <c r="H100" s="2" t="s">
        <v>2</v>
      </c>
      <c r="I100" s="2" t="s">
        <v>2</v>
      </c>
      <c r="J100" s="2" t="s">
        <v>28</v>
      </c>
      <c r="K100" s="3">
        <v>0</v>
      </c>
      <c r="L100" s="3">
        <v>0</v>
      </c>
      <c r="M100" s="3">
        <v>0</v>
      </c>
      <c r="N100" s="3">
        <v>2</v>
      </c>
      <c r="O100" s="4">
        <v>0</v>
      </c>
      <c r="P100" s="4">
        <v>0</v>
      </c>
      <c r="Q100" s="4">
        <v>0</v>
      </c>
      <c r="R100" s="4">
        <v>2</v>
      </c>
      <c r="S100" s="4">
        <v>0</v>
      </c>
      <c r="T100" s="2" t="s">
        <v>1527</v>
      </c>
      <c r="U100" s="2" t="s">
        <v>1528</v>
      </c>
      <c r="V100" s="2" t="s">
        <v>1529</v>
      </c>
      <c r="W100" s="2" t="s">
        <v>980</v>
      </c>
    </row>
    <row r="101" spans="1:23" ht="24" customHeight="1" x14ac:dyDescent="0.3">
      <c r="A101" s="2" t="s">
        <v>657</v>
      </c>
      <c r="B101" s="11"/>
      <c r="C101" s="11"/>
      <c r="D101" s="2" t="s">
        <v>1530</v>
      </c>
      <c r="E101" s="2" t="s">
        <v>1531</v>
      </c>
      <c r="F101" s="2" t="s">
        <v>1532</v>
      </c>
      <c r="G101" s="2" t="s">
        <v>2</v>
      </c>
      <c r="H101" s="2" t="s">
        <v>2</v>
      </c>
      <c r="I101" s="2" t="s">
        <v>2</v>
      </c>
      <c r="J101" s="2" t="s">
        <v>28</v>
      </c>
      <c r="K101" s="3">
        <v>0</v>
      </c>
      <c r="L101" s="3">
        <v>0</v>
      </c>
      <c r="M101" s="3">
        <v>0</v>
      </c>
      <c r="N101" s="3">
        <v>4</v>
      </c>
      <c r="O101" s="4">
        <v>0</v>
      </c>
      <c r="P101" s="4">
        <v>0</v>
      </c>
      <c r="Q101" s="4">
        <v>0</v>
      </c>
      <c r="R101" s="4">
        <v>79.5</v>
      </c>
      <c r="S101" s="4">
        <v>10232.299999999999</v>
      </c>
      <c r="T101" s="2" t="s">
        <v>1533</v>
      </c>
      <c r="U101" s="2" t="s">
        <v>1534</v>
      </c>
      <c r="V101" s="2" t="s">
        <v>2</v>
      </c>
      <c r="W101" s="2" t="s">
        <v>2</v>
      </c>
    </row>
    <row r="102" spans="1:23" ht="24" customHeight="1" x14ac:dyDescent="0.3">
      <c r="A102" s="2" t="s">
        <v>658</v>
      </c>
      <c r="B102" s="11"/>
      <c r="C102" s="11"/>
      <c r="D102" s="2" t="s">
        <v>1535</v>
      </c>
      <c r="E102" s="2" t="s">
        <v>1020</v>
      </c>
      <c r="F102" s="2" t="s">
        <v>1536</v>
      </c>
      <c r="G102" s="2" t="s">
        <v>2</v>
      </c>
      <c r="H102" s="2" t="s">
        <v>2</v>
      </c>
      <c r="I102" s="2" t="s">
        <v>2</v>
      </c>
      <c r="J102" s="2" t="s">
        <v>28</v>
      </c>
      <c r="K102" s="3">
        <v>0</v>
      </c>
      <c r="L102" s="3">
        <v>0</v>
      </c>
      <c r="M102" s="3">
        <v>0</v>
      </c>
      <c r="N102" s="3">
        <v>2</v>
      </c>
      <c r="O102" s="4">
        <v>0</v>
      </c>
      <c r="P102" s="4">
        <v>0</v>
      </c>
      <c r="Q102" s="4">
        <v>0</v>
      </c>
      <c r="R102" s="4">
        <v>76.5</v>
      </c>
      <c r="S102" s="4">
        <v>1114.3</v>
      </c>
      <c r="T102" s="2" t="s">
        <v>1537</v>
      </c>
      <c r="U102" s="2" t="s">
        <v>1529</v>
      </c>
      <c r="V102" s="2" t="s">
        <v>2</v>
      </c>
      <c r="W102" s="2" t="s">
        <v>2</v>
      </c>
    </row>
    <row r="103" spans="1:23" ht="24" customHeight="1" x14ac:dyDescent="0.3">
      <c r="A103" s="2" t="s">
        <v>659</v>
      </c>
      <c r="B103" s="11"/>
      <c r="C103" s="11"/>
      <c r="D103" s="2" t="s">
        <v>1538</v>
      </c>
      <c r="E103" s="2" t="s">
        <v>1539</v>
      </c>
      <c r="F103" s="2" t="s">
        <v>1540</v>
      </c>
      <c r="G103" s="2" t="s">
        <v>2</v>
      </c>
      <c r="H103" s="2" t="s">
        <v>2</v>
      </c>
      <c r="I103" s="2" t="s">
        <v>2</v>
      </c>
      <c r="J103" s="2" t="s">
        <v>28</v>
      </c>
      <c r="K103" s="3">
        <v>0</v>
      </c>
      <c r="L103" s="3">
        <v>0</v>
      </c>
      <c r="M103" s="3">
        <v>0</v>
      </c>
      <c r="N103" s="3">
        <v>2</v>
      </c>
      <c r="O103" s="4">
        <v>0</v>
      </c>
      <c r="P103" s="4">
        <v>0</v>
      </c>
      <c r="Q103" s="4">
        <v>0</v>
      </c>
      <c r="R103" s="4">
        <v>51</v>
      </c>
      <c r="S103" s="4">
        <v>0</v>
      </c>
      <c r="T103" s="2" t="s">
        <v>2</v>
      </c>
      <c r="U103" s="2" t="s">
        <v>1541</v>
      </c>
      <c r="V103" s="2" t="s">
        <v>2</v>
      </c>
      <c r="W103" s="2" t="s">
        <v>2</v>
      </c>
    </row>
    <row r="104" spans="1:23" ht="24" customHeight="1" x14ac:dyDescent="0.3">
      <c r="A104" s="2" t="s">
        <v>360</v>
      </c>
      <c r="B104" s="11"/>
      <c r="C104" s="11"/>
      <c r="D104" s="2" t="s">
        <v>1542</v>
      </c>
      <c r="E104" s="2" t="s">
        <v>1543</v>
      </c>
      <c r="F104" s="2" t="s">
        <v>1544</v>
      </c>
      <c r="G104" s="2" t="s">
        <v>2</v>
      </c>
      <c r="H104" s="2" t="s">
        <v>2</v>
      </c>
      <c r="I104" s="2" t="s">
        <v>27</v>
      </c>
      <c r="J104" s="2" t="s">
        <v>2</v>
      </c>
      <c r="K104" s="3">
        <v>0</v>
      </c>
      <c r="L104" s="3">
        <v>0</v>
      </c>
      <c r="M104" s="3">
        <v>3</v>
      </c>
      <c r="N104" s="3">
        <v>0</v>
      </c>
      <c r="O104" s="4">
        <v>0</v>
      </c>
      <c r="P104" s="4">
        <v>0</v>
      </c>
      <c r="Q104" s="4">
        <v>0</v>
      </c>
      <c r="R104" s="4">
        <v>8.1</v>
      </c>
      <c r="S104" s="4">
        <v>0</v>
      </c>
      <c r="T104" s="2" t="s">
        <v>2</v>
      </c>
      <c r="U104" s="2" t="s">
        <v>1545</v>
      </c>
      <c r="V104" s="2" t="s">
        <v>1006</v>
      </c>
      <c r="W104" s="2" t="s">
        <v>1317</v>
      </c>
    </row>
    <row r="105" spans="1:23" ht="24" customHeight="1" x14ac:dyDescent="0.3">
      <c r="A105" s="2" t="s">
        <v>660</v>
      </c>
      <c r="B105" s="11"/>
      <c r="C105" s="11"/>
      <c r="D105" s="2" t="s">
        <v>1546</v>
      </c>
      <c r="E105" s="2" t="s">
        <v>1547</v>
      </c>
      <c r="F105" s="2" t="s">
        <v>1548</v>
      </c>
      <c r="G105" s="2" t="s">
        <v>2</v>
      </c>
      <c r="H105" s="2" t="s">
        <v>2</v>
      </c>
      <c r="I105" s="2" t="s">
        <v>2</v>
      </c>
      <c r="J105" s="2" t="s">
        <v>28</v>
      </c>
      <c r="K105" s="3">
        <v>0</v>
      </c>
      <c r="L105" s="3">
        <v>0</v>
      </c>
      <c r="M105" s="3">
        <v>0</v>
      </c>
      <c r="N105" s="3">
        <v>2</v>
      </c>
      <c r="O105" s="4">
        <v>0</v>
      </c>
      <c r="P105" s="4">
        <v>0</v>
      </c>
      <c r="Q105" s="4">
        <v>0</v>
      </c>
      <c r="R105" s="4">
        <v>51.2</v>
      </c>
      <c r="S105" s="4">
        <v>10063.1</v>
      </c>
      <c r="T105" s="2" t="s">
        <v>1549</v>
      </c>
      <c r="U105" s="2" t="s">
        <v>1550</v>
      </c>
      <c r="V105" s="2" t="s">
        <v>2</v>
      </c>
      <c r="W105" s="2" t="s">
        <v>2</v>
      </c>
    </row>
    <row r="106" spans="1:23" ht="24" customHeight="1" x14ac:dyDescent="0.3">
      <c r="A106" s="2" t="s">
        <v>661</v>
      </c>
      <c r="B106" s="11"/>
      <c r="C106" s="11"/>
      <c r="D106" s="2" t="s">
        <v>1551</v>
      </c>
      <c r="E106" s="2" t="s">
        <v>1552</v>
      </c>
      <c r="F106" s="2" t="s">
        <v>1553</v>
      </c>
      <c r="G106" s="2" t="s">
        <v>2</v>
      </c>
      <c r="H106" s="2" t="s">
        <v>2</v>
      </c>
      <c r="I106" s="2" t="s">
        <v>2</v>
      </c>
      <c r="J106" s="2" t="s">
        <v>379</v>
      </c>
      <c r="K106" s="3">
        <v>0</v>
      </c>
      <c r="L106" s="3">
        <v>0</v>
      </c>
      <c r="M106" s="3">
        <v>0</v>
      </c>
      <c r="N106" s="3">
        <v>3</v>
      </c>
      <c r="O106" s="4">
        <v>0</v>
      </c>
      <c r="P106" s="4">
        <v>0</v>
      </c>
      <c r="Q106" s="4">
        <v>0</v>
      </c>
      <c r="R106" s="4">
        <v>8</v>
      </c>
      <c r="S106" s="4">
        <v>0</v>
      </c>
      <c r="T106" s="2" t="s">
        <v>1554</v>
      </c>
      <c r="U106" s="2" t="s">
        <v>1237</v>
      </c>
      <c r="V106" s="2" t="s">
        <v>2</v>
      </c>
      <c r="W106" s="2" t="s">
        <v>992</v>
      </c>
    </row>
    <row r="107" spans="1:23" ht="24" customHeight="1" x14ac:dyDescent="0.3">
      <c r="A107" s="2" t="s">
        <v>365</v>
      </c>
      <c r="B107" s="11"/>
      <c r="C107" s="11"/>
      <c r="D107" s="2" t="s">
        <v>1555</v>
      </c>
      <c r="E107" s="2" t="s">
        <v>1556</v>
      </c>
      <c r="F107" s="2" t="s">
        <v>1557</v>
      </c>
      <c r="G107" s="2" t="s">
        <v>2</v>
      </c>
      <c r="H107" s="2" t="s">
        <v>2</v>
      </c>
      <c r="I107" s="2" t="s">
        <v>2</v>
      </c>
      <c r="J107" s="2" t="s">
        <v>379</v>
      </c>
      <c r="K107" s="3">
        <v>0</v>
      </c>
      <c r="L107" s="3">
        <v>0</v>
      </c>
      <c r="M107" s="3">
        <v>0</v>
      </c>
      <c r="N107" s="3">
        <v>2</v>
      </c>
      <c r="O107" s="4">
        <v>0</v>
      </c>
      <c r="P107" s="4">
        <v>0</v>
      </c>
      <c r="Q107" s="4">
        <v>0</v>
      </c>
      <c r="R107" s="4">
        <v>3.5</v>
      </c>
      <c r="S107" s="4">
        <v>0</v>
      </c>
      <c r="T107" s="2" t="s">
        <v>1558</v>
      </c>
      <c r="U107" s="2" t="s">
        <v>1559</v>
      </c>
      <c r="V107" s="2" t="s">
        <v>2</v>
      </c>
      <c r="W107" s="2" t="s">
        <v>2</v>
      </c>
    </row>
    <row r="108" spans="1:23" ht="24" customHeight="1" x14ac:dyDescent="0.3">
      <c r="A108" s="2" t="s">
        <v>663</v>
      </c>
      <c r="B108" s="11"/>
      <c r="C108" s="11"/>
      <c r="D108" s="2" t="s">
        <v>1560</v>
      </c>
      <c r="E108" s="2" t="s">
        <v>1561</v>
      </c>
      <c r="F108" s="2" t="s">
        <v>1562</v>
      </c>
      <c r="G108" s="2" t="s">
        <v>2</v>
      </c>
      <c r="H108" s="2" t="s">
        <v>2</v>
      </c>
      <c r="I108" s="2" t="s">
        <v>639</v>
      </c>
      <c r="J108" s="2" t="s">
        <v>2</v>
      </c>
      <c r="K108" s="3">
        <v>0</v>
      </c>
      <c r="L108" s="3">
        <v>0</v>
      </c>
      <c r="M108" s="3">
        <v>2</v>
      </c>
      <c r="N108" s="3">
        <v>0</v>
      </c>
      <c r="O108" s="4">
        <v>0</v>
      </c>
      <c r="P108" s="4">
        <v>0</v>
      </c>
      <c r="Q108" s="4">
        <v>6.1</v>
      </c>
      <c r="R108" s="4">
        <v>0</v>
      </c>
      <c r="S108" s="4">
        <v>271.2</v>
      </c>
      <c r="T108" s="2" t="s">
        <v>1563</v>
      </c>
      <c r="U108" s="2" t="s">
        <v>1001</v>
      </c>
      <c r="V108" s="2" t="s">
        <v>2</v>
      </c>
      <c r="W108" s="2" t="s">
        <v>2</v>
      </c>
    </row>
    <row r="109" spans="1:23" ht="24" customHeight="1" x14ac:dyDescent="0.3">
      <c r="A109" s="2" t="s">
        <v>664</v>
      </c>
      <c r="B109" s="11"/>
      <c r="C109" s="11"/>
      <c r="D109" s="2" t="s">
        <v>1564</v>
      </c>
      <c r="E109" s="2" t="s">
        <v>1565</v>
      </c>
      <c r="F109" s="2" t="s">
        <v>1566</v>
      </c>
      <c r="G109" s="2" t="s">
        <v>1567</v>
      </c>
      <c r="H109" s="2" t="s">
        <v>2</v>
      </c>
      <c r="I109" s="2" t="s">
        <v>2</v>
      </c>
      <c r="J109" s="2" t="s">
        <v>2</v>
      </c>
      <c r="K109" s="3">
        <v>4</v>
      </c>
      <c r="L109" s="3">
        <v>0</v>
      </c>
      <c r="M109" s="3">
        <v>0</v>
      </c>
      <c r="N109" s="3">
        <v>0</v>
      </c>
      <c r="O109" s="4">
        <v>20.399999999999999</v>
      </c>
      <c r="P109" s="4">
        <v>0</v>
      </c>
      <c r="Q109" s="4">
        <v>0</v>
      </c>
      <c r="R109" s="4">
        <v>0</v>
      </c>
      <c r="S109" s="4">
        <v>2149.9</v>
      </c>
      <c r="T109" s="2" t="s">
        <v>1568</v>
      </c>
      <c r="U109" s="2" t="s">
        <v>1569</v>
      </c>
      <c r="V109" s="2" t="s">
        <v>2</v>
      </c>
      <c r="W109" s="2" t="s">
        <v>2</v>
      </c>
    </row>
    <row r="110" spans="1:23" ht="24" customHeight="1" x14ac:dyDescent="0.3">
      <c r="A110" s="2" t="s">
        <v>665</v>
      </c>
      <c r="B110" s="11"/>
      <c r="C110" s="11"/>
      <c r="D110" s="2" t="s">
        <v>1570</v>
      </c>
      <c r="E110" s="2" t="s">
        <v>1571</v>
      </c>
      <c r="F110" s="2" t="s">
        <v>1572</v>
      </c>
      <c r="G110" s="2" t="s">
        <v>2</v>
      </c>
      <c r="H110" s="2" t="s">
        <v>2</v>
      </c>
      <c r="I110" s="2" t="s">
        <v>2</v>
      </c>
      <c r="J110" s="2" t="s">
        <v>1145</v>
      </c>
      <c r="K110" s="3">
        <v>0</v>
      </c>
      <c r="L110" s="3">
        <v>0</v>
      </c>
      <c r="M110" s="3">
        <v>0</v>
      </c>
      <c r="N110" s="3">
        <v>3</v>
      </c>
      <c r="O110" s="4">
        <v>0</v>
      </c>
      <c r="P110" s="4">
        <v>0</v>
      </c>
      <c r="Q110" s="4">
        <v>0</v>
      </c>
      <c r="R110" s="4">
        <v>7.9</v>
      </c>
      <c r="S110" s="4">
        <v>0</v>
      </c>
      <c r="T110" s="2" t="s">
        <v>1573</v>
      </c>
      <c r="U110" s="2" t="s">
        <v>1574</v>
      </c>
      <c r="V110" s="2" t="s">
        <v>2</v>
      </c>
      <c r="W110" s="2" t="s">
        <v>2</v>
      </c>
    </row>
    <row r="111" spans="1:23" ht="24" customHeight="1" x14ac:dyDescent="0.3">
      <c r="A111" s="2" t="s">
        <v>665</v>
      </c>
      <c r="B111" s="11"/>
      <c r="C111" s="11"/>
      <c r="D111" s="2" t="s">
        <v>1570</v>
      </c>
      <c r="E111" s="2" t="s">
        <v>1571</v>
      </c>
      <c r="F111" s="2" t="s">
        <v>1572</v>
      </c>
      <c r="G111" s="2" t="s">
        <v>2</v>
      </c>
      <c r="H111" s="2" t="s">
        <v>2</v>
      </c>
      <c r="I111" s="2" t="s">
        <v>1145</v>
      </c>
      <c r="J111" s="2" t="s">
        <v>2</v>
      </c>
      <c r="K111" s="3">
        <v>0</v>
      </c>
      <c r="L111" s="3">
        <v>0</v>
      </c>
      <c r="M111" s="3">
        <v>3</v>
      </c>
      <c r="N111" s="3">
        <v>0</v>
      </c>
      <c r="O111" s="4">
        <v>0</v>
      </c>
      <c r="P111" s="4">
        <v>0</v>
      </c>
      <c r="Q111" s="4">
        <v>24.8</v>
      </c>
      <c r="R111" s="4">
        <v>0</v>
      </c>
      <c r="S111" s="4">
        <v>0</v>
      </c>
      <c r="T111" s="2" t="s">
        <v>1573</v>
      </c>
      <c r="U111" s="2" t="s">
        <v>1575</v>
      </c>
      <c r="V111" s="2" t="s">
        <v>2</v>
      </c>
      <c r="W111" s="2" t="s">
        <v>2</v>
      </c>
    </row>
    <row r="112" spans="1:23" ht="24" customHeight="1" x14ac:dyDescent="0.3">
      <c r="A112" s="2" t="s">
        <v>666</v>
      </c>
      <c r="B112" s="11"/>
      <c r="C112" s="11"/>
      <c r="D112" s="2" t="s">
        <v>1576</v>
      </c>
      <c r="E112" s="2" t="s">
        <v>1577</v>
      </c>
      <c r="F112" s="2" t="s">
        <v>1578</v>
      </c>
      <c r="G112" s="2" t="s">
        <v>2</v>
      </c>
      <c r="H112" s="2" t="s">
        <v>196</v>
      </c>
      <c r="I112" s="2" t="s">
        <v>2</v>
      </c>
      <c r="J112" s="2" t="s">
        <v>2</v>
      </c>
      <c r="K112" s="3">
        <v>0</v>
      </c>
      <c r="L112" s="3">
        <v>3</v>
      </c>
      <c r="M112" s="3">
        <v>0</v>
      </c>
      <c r="N112" s="3">
        <v>0</v>
      </c>
      <c r="O112" s="4">
        <v>0</v>
      </c>
      <c r="P112" s="4">
        <v>21.8</v>
      </c>
      <c r="Q112" s="4">
        <v>0</v>
      </c>
      <c r="R112" s="4">
        <v>0</v>
      </c>
      <c r="S112" s="4">
        <v>0</v>
      </c>
      <c r="T112" s="2" t="s">
        <v>1579</v>
      </c>
      <c r="U112" s="2" t="s">
        <v>1580</v>
      </c>
      <c r="V112" s="2" t="s">
        <v>2</v>
      </c>
      <c r="W112" s="2" t="s">
        <v>2</v>
      </c>
    </row>
    <row r="113" spans="1:23" ht="24" customHeight="1" x14ac:dyDescent="0.3">
      <c r="A113" s="2" t="s">
        <v>667</v>
      </c>
      <c r="B113" s="11"/>
      <c r="C113" s="11"/>
      <c r="D113" s="2" t="s">
        <v>1581</v>
      </c>
      <c r="E113" s="2" t="s">
        <v>1582</v>
      </c>
      <c r="F113" s="2" t="s">
        <v>1583</v>
      </c>
      <c r="G113" s="2" t="s">
        <v>2</v>
      </c>
      <c r="H113" s="2" t="s">
        <v>196</v>
      </c>
      <c r="I113" s="2" t="s">
        <v>1584</v>
      </c>
      <c r="J113" s="2" t="s">
        <v>2</v>
      </c>
      <c r="K113" s="3">
        <v>0</v>
      </c>
      <c r="L113" s="3">
        <v>0</v>
      </c>
      <c r="M113" s="3">
        <v>4</v>
      </c>
      <c r="N113" s="3">
        <v>0</v>
      </c>
      <c r="O113" s="4">
        <v>0</v>
      </c>
      <c r="P113" s="4">
        <v>0</v>
      </c>
      <c r="Q113" s="4">
        <v>24.3</v>
      </c>
      <c r="R113" s="4">
        <v>0</v>
      </c>
      <c r="S113" s="4">
        <v>0</v>
      </c>
      <c r="T113" s="2" t="s">
        <v>1585</v>
      </c>
      <c r="U113" s="2" t="s">
        <v>1586</v>
      </c>
      <c r="V113" s="2" t="s">
        <v>2</v>
      </c>
      <c r="W113" s="2" t="s">
        <v>2</v>
      </c>
    </row>
    <row r="114" spans="1:23" ht="24" customHeight="1" x14ac:dyDescent="0.3">
      <c r="A114" s="2" t="s">
        <v>669</v>
      </c>
      <c r="B114" s="11"/>
      <c r="C114" s="11"/>
      <c r="D114" s="2" t="s">
        <v>1587</v>
      </c>
      <c r="E114" s="2" t="s">
        <v>1588</v>
      </c>
      <c r="F114" s="2" t="s">
        <v>1589</v>
      </c>
      <c r="G114" s="2" t="s">
        <v>2</v>
      </c>
      <c r="H114" s="2" t="s">
        <v>2</v>
      </c>
      <c r="I114" s="2" t="s">
        <v>2</v>
      </c>
      <c r="J114" s="2" t="s">
        <v>437</v>
      </c>
      <c r="K114" s="3">
        <v>0</v>
      </c>
      <c r="L114" s="3">
        <v>0</v>
      </c>
      <c r="M114" s="3">
        <v>0</v>
      </c>
      <c r="N114" s="3">
        <v>2</v>
      </c>
      <c r="O114" s="4">
        <v>0</v>
      </c>
      <c r="P114" s="4">
        <v>0</v>
      </c>
      <c r="Q114" s="4">
        <v>0</v>
      </c>
      <c r="R114" s="4">
        <v>3</v>
      </c>
      <c r="S114" s="4">
        <v>0</v>
      </c>
      <c r="T114" s="2" t="s">
        <v>1590</v>
      </c>
      <c r="U114" s="2" t="s">
        <v>1591</v>
      </c>
      <c r="V114" s="2" t="s">
        <v>2</v>
      </c>
      <c r="W114" s="2" t="s">
        <v>2</v>
      </c>
    </row>
    <row r="115" spans="1:23" ht="24" customHeight="1" x14ac:dyDescent="0.3">
      <c r="A115" s="2" t="s">
        <v>670</v>
      </c>
      <c r="B115" s="11"/>
      <c r="C115" s="11"/>
      <c r="D115" s="2" t="s">
        <v>1592</v>
      </c>
      <c r="E115" s="2" t="s">
        <v>1593</v>
      </c>
      <c r="F115" s="2" t="s">
        <v>1594</v>
      </c>
      <c r="G115" s="2" t="s">
        <v>2</v>
      </c>
      <c r="H115" s="2" t="s">
        <v>2</v>
      </c>
      <c r="I115" s="2" t="s">
        <v>2</v>
      </c>
      <c r="J115" s="2" t="s">
        <v>437</v>
      </c>
      <c r="K115" s="3">
        <v>0</v>
      </c>
      <c r="L115" s="3">
        <v>0</v>
      </c>
      <c r="M115" s="3">
        <v>0</v>
      </c>
      <c r="N115" s="3">
        <v>2</v>
      </c>
      <c r="O115" s="4">
        <v>0</v>
      </c>
      <c r="P115" s="4">
        <v>0</v>
      </c>
      <c r="Q115" s="4">
        <v>0</v>
      </c>
      <c r="R115" s="4">
        <v>4</v>
      </c>
      <c r="S115" s="4">
        <v>0</v>
      </c>
      <c r="T115" s="2" t="s">
        <v>1595</v>
      </c>
      <c r="U115" s="2" t="s">
        <v>277</v>
      </c>
      <c r="V115" s="2" t="s">
        <v>2</v>
      </c>
      <c r="W115" s="2" t="s">
        <v>2</v>
      </c>
    </row>
    <row r="116" spans="1:23" ht="24" customHeight="1" x14ac:dyDescent="0.3">
      <c r="A116" s="2" t="s">
        <v>672</v>
      </c>
      <c r="B116" s="11"/>
      <c r="C116" s="11"/>
      <c r="D116" s="2" t="s">
        <v>1596</v>
      </c>
      <c r="E116" s="2" t="s">
        <v>1597</v>
      </c>
      <c r="F116" s="2" t="s">
        <v>1598</v>
      </c>
      <c r="G116" s="2" t="s">
        <v>1599</v>
      </c>
      <c r="H116" s="2" t="s">
        <v>2</v>
      </c>
      <c r="I116" s="2" t="s">
        <v>2</v>
      </c>
      <c r="J116" s="2" t="s">
        <v>2</v>
      </c>
      <c r="K116" s="3">
        <v>8</v>
      </c>
      <c r="L116" s="3">
        <v>0</v>
      </c>
      <c r="M116" s="3">
        <v>0</v>
      </c>
      <c r="N116" s="3">
        <v>0</v>
      </c>
      <c r="O116" s="4">
        <v>14.2</v>
      </c>
      <c r="P116" s="4">
        <v>0</v>
      </c>
      <c r="Q116" s="4">
        <v>0</v>
      </c>
      <c r="R116" s="4">
        <v>0</v>
      </c>
      <c r="S116" s="4">
        <v>6447</v>
      </c>
      <c r="T116" s="2" t="s">
        <v>1600</v>
      </c>
      <c r="U116" s="2" t="s">
        <v>1601</v>
      </c>
      <c r="V116" s="2" t="s">
        <v>2</v>
      </c>
      <c r="W116" s="2" t="s">
        <v>2</v>
      </c>
    </row>
    <row r="117" spans="1:23" ht="24" customHeight="1" x14ac:dyDescent="0.3">
      <c r="A117" s="2" t="s">
        <v>673</v>
      </c>
      <c r="B117" s="11"/>
      <c r="C117" s="11"/>
      <c r="D117" s="2" t="s">
        <v>1602</v>
      </c>
      <c r="E117" s="2" t="s">
        <v>1603</v>
      </c>
      <c r="F117" s="2" t="s">
        <v>1604</v>
      </c>
      <c r="G117" s="2" t="s">
        <v>26</v>
      </c>
      <c r="H117" s="2" t="s">
        <v>196</v>
      </c>
      <c r="I117" s="2" t="s">
        <v>2</v>
      </c>
      <c r="J117" s="2" t="s">
        <v>2</v>
      </c>
      <c r="K117" s="3">
        <v>3</v>
      </c>
      <c r="L117" s="3">
        <v>1</v>
      </c>
      <c r="M117" s="3">
        <v>0</v>
      </c>
      <c r="N117" s="3">
        <v>0</v>
      </c>
      <c r="O117" s="4">
        <v>14.1</v>
      </c>
      <c r="P117" s="4">
        <v>3.6</v>
      </c>
      <c r="Q117" s="4">
        <v>0</v>
      </c>
      <c r="R117" s="4">
        <v>0</v>
      </c>
      <c r="S117" s="4">
        <v>3545.4</v>
      </c>
      <c r="T117" s="2" t="s">
        <v>2</v>
      </c>
      <c r="U117" s="2" t="s">
        <v>776</v>
      </c>
      <c r="V117" s="2" t="s">
        <v>2</v>
      </c>
      <c r="W117" s="2" t="s">
        <v>2</v>
      </c>
    </row>
    <row r="118" spans="1:23" ht="24" customHeight="1" x14ac:dyDescent="0.3">
      <c r="A118" s="2" t="s">
        <v>675</v>
      </c>
      <c r="B118" s="11"/>
      <c r="C118" s="11"/>
      <c r="D118" s="2" t="s">
        <v>1605</v>
      </c>
      <c r="E118" s="2" t="s">
        <v>1603</v>
      </c>
      <c r="F118" s="2" t="s">
        <v>1604</v>
      </c>
      <c r="G118" s="2" t="s">
        <v>2</v>
      </c>
      <c r="H118" s="2" t="s">
        <v>196</v>
      </c>
      <c r="I118" s="2" t="s">
        <v>437</v>
      </c>
      <c r="J118" s="2" t="s">
        <v>2</v>
      </c>
      <c r="K118" s="3">
        <v>0</v>
      </c>
      <c r="L118" s="3">
        <v>5</v>
      </c>
      <c r="M118" s="3">
        <v>5</v>
      </c>
      <c r="N118" s="3">
        <v>0</v>
      </c>
      <c r="O118" s="4">
        <v>0</v>
      </c>
      <c r="P118" s="4">
        <v>39.799999999999997</v>
      </c>
      <c r="Q118" s="4">
        <v>12.3</v>
      </c>
      <c r="R118" s="4">
        <v>0</v>
      </c>
      <c r="S118" s="4">
        <v>6513.9</v>
      </c>
      <c r="T118" s="2" t="s">
        <v>2</v>
      </c>
      <c r="U118" s="2" t="s">
        <v>1606</v>
      </c>
      <c r="V118" s="2" t="s">
        <v>2</v>
      </c>
      <c r="W118" s="2" t="s">
        <v>2</v>
      </c>
    </row>
    <row r="119" spans="1:23" ht="24" customHeight="1" x14ac:dyDescent="0.3">
      <c r="A119" s="2" t="s">
        <v>676</v>
      </c>
      <c r="B119" s="11"/>
      <c r="C119" s="11"/>
      <c r="D119" s="2" t="s">
        <v>1028</v>
      </c>
      <c r="E119" s="2" t="s">
        <v>1607</v>
      </c>
      <c r="F119" s="2" t="s">
        <v>1608</v>
      </c>
      <c r="G119" s="2" t="s">
        <v>2</v>
      </c>
      <c r="H119" s="2" t="s">
        <v>2</v>
      </c>
      <c r="I119" s="2" t="s">
        <v>2</v>
      </c>
      <c r="J119" s="2" t="s">
        <v>379</v>
      </c>
      <c r="K119" s="3">
        <v>0</v>
      </c>
      <c r="L119" s="3">
        <v>0</v>
      </c>
      <c r="M119" s="3">
        <v>0</v>
      </c>
      <c r="N119" s="3">
        <v>2</v>
      </c>
      <c r="O119" s="4">
        <v>0</v>
      </c>
      <c r="P119" s="4">
        <v>0</v>
      </c>
      <c r="Q119" s="4">
        <v>0</v>
      </c>
      <c r="R119" s="4">
        <v>25</v>
      </c>
      <c r="S119" s="4">
        <v>0</v>
      </c>
      <c r="T119" s="2" t="s">
        <v>1609</v>
      </c>
      <c r="U119" s="2" t="s">
        <v>1610</v>
      </c>
      <c r="V119" s="2" t="s">
        <v>1611</v>
      </c>
      <c r="W119" s="2" t="s">
        <v>980</v>
      </c>
    </row>
    <row r="120" spans="1:23" ht="24" customHeight="1" x14ac:dyDescent="0.3">
      <c r="A120" s="2" t="s">
        <v>677</v>
      </c>
      <c r="B120" s="11"/>
      <c r="C120" s="11"/>
      <c r="D120" s="2" t="s">
        <v>1612</v>
      </c>
      <c r="E120" s="2" t="s">
        <v>1613</v>
      </c>
      <c r="F120" s="2" t="s">
        <v>1614</v>
      </c>
      <c r="G120" s="2" t="s">
        <v>2</v>
      </c>
      <c r="H120" s="2" t="s">
        <v>2</v>
      </c>
      <c r="I120" s="2" t="s">
        <v>1615</v>
      </c>
      <c r="J120" s="2" t="s">
        <v>2</v>
      </c>
      <c r="K120" s="3">
        <v>0</v>
      </c>
      <c r="L120" s="3">
        <v>0</v>
      </c>
      <c r="M120" s="3">
        <v>4</v>
      </c>
      <c r="N120" s="3">
        <v>0</v>
      </c>
      <c r="O120" s="4">
        <v>0</v>
      </c>
      <c r="P120" s="4">
        <v>0</v>
      </c>
      <c r="Q120" s="4">
        <v>10.5</v>
      </c>
      <c r="R120" s="4">
        <v>0</v>
      </c>
      <c r="S120" s="4">
        <v>627.29999999999995</v>
      </c>
      <c r="T120" s="2" t="s">
        <v>1616</v>
      </c>
      <c r="U120" s="2" t="s">
        <v>1617</v>
      </c>
      <c r="V120" s="2" t="s">
        <v>2</v>
      </c>
      <c r="W120" s="2" t="s">
        <v>2</v>
      </c>
    </row>
    <row r="121" spans="1:23" ht="24" customHeight="1" x14ac:dyDescent="0.3">
      <c r="A121" s="2" t="s">
        <v>677</v>
      </c>
      <c r="B121" s="11"/>
      <c r="C121" s="11"/>
      <c r="D121" s="2" t="s">
        <v>1612</v>
      </c>
      <c r="E121" s="2" t="s">
        <v>1613</v>
      </c>
      <c r="F121" s="2" t="s">
        <v>1614</v>
      </c>
      <c r="G121" s="2" t="s">
        <v>2</v>
      </c>
      <c r="H121" s="2" t="s">
        <v>2</v>
      </c>
      <c r="I121" s="2" t="s">
        <v>2</v>
      </c>
      <c r="J121" s="2" t="s">
        <v>1618</v>
      </c>
      <c r="K121" s="3">
        <v>0</v>
      </c>
      <c r="L121" s="3">
        <v>0</v>
      </c>
      <c r="M121" s="3">
        <v>0</v>
      </c>
      <c r="N121" s="3">
        <v>2</v>
      </c>
      <c r="O121" s="4">
        <v>0</v>
      </c>
      <c r="P121" s="4">
        <v>0</v>
      </c>
      <c r="Q121" s="4">
        <v>0</v>
      </c>
      <c r="R121" s="4">
        <v>9.1</v>
      </c>
      <c r="S121" s="4">
        <v>1035.0999999999999</v>
      </c>
      <c r="T121" s="2" t="s">
        <v>1616</v>
      </c>
      <c r="U121" s="2" t="s">
        <v>1619</v>
      </c>
      <c r="V121" s="2" t="s">
        <v>2</v>
      </c>
      <c r="W121" s="2" t="s">
        <v>2</v>
      </c>
    </row>
    <row r="122" spans="1:23" ht="24" customHeight="1" x14ac:dyDescent="0.3">
      <c r="A122" s="2" t="s">
        <v>678</v>
      </c>
      <c r="B122" s="11"/>
      <c r="C122" s="11"/>
      <c r="D122" s="2" t="s">
        <v>1620</v>
      </c>
      <c r="E122" s="2" t="s">
        <v>1621</v>
      </c>
      <c r="F122" s="2" t="s">
        <v>1622</v>
      </c>
      <c r="G122" s="2" t="s">
        <v>2</v>
      </c>
      <c r="H122" s="2" t="s">
        <v>2</v>
      </c>
      <c r="I122" s="2" t="s">
        <v>2</v>
      </c>
      <c r="J122" s="2" t="s">
        <v>1623</v>
      </c>
      <c r="K122" s="3">
        <v>0</v>
      </c>
      <c r="L122" s="3">
        <v>0</v>
      </c>
      <c r="M122" s="3">
        <v>0</v>
      </c>
      <c r="N122" s="3">
        <v>2</v>
      </c>
      <c r="O122" s="4">
        <v>0</v>
      </c>
      <c r="P122" s="4">
        <v>0</v>
      </c>
      <c r="Q122" s="4">
        <v>0</v>
      </c>
      <c r="R122" s="4">
        <v>51</v>
      </c>
      <c r="S122" s="4">
        <v>31636.3</v>
      </c>
      <c r="T122" s="2" t="s">
        <v>1624</v>
      </c>
      <c r="U122" s="2" t="s">
        <v>1625</v>
      </c>
      <c r="V122" s="2" t="s">
        <v>2</v>
      </c>
      <c r="W122" s="2" t="s">
        <v>2</v>
      </c>
    </row>
    <row r="123" spans="1:23" ht="24" customHeight="1" x14ac:dyDescent="0.3">
      <c r="A123" s="2" t="s">
        <v>679</v>
      </c>
      <c r="B123" s="11"/>
      <c r="C123" s="11"/>
      <c r="D123" s="2" t="s">
        <v>1626</v>
      </c>
      <c r="E123" s="2" t="s">
        <v>1627</v>
      </c>
      <c r="F123" s="2" t="s">
        <v>1628</v>
      </c>
      <c r="G123" s="2" t="s">
        <v>2</v>
      </c>
      <c r="H123" s="2" t="s">
        <v>2</v>
      </c>
      <c r="I123" s="2" t="s">
        <v>437</v>
      </c>
      <c r="J123" s="2" t="s">
        <v>2</v>
      </c>
      <c r="K123" s="3">
        <v>0</v>
      </c>
      <c r="L123" s="3">
        <v>0</v>
      </c>
      <c r="M123" s="3">
        <v>3</v>
      </c>
      <c r="N123" s="3">
        <v>0</v>
      </c>
      <c r="O123" s="4">
        <v>0</v>
      </c>
      <c r="P123" s="4">
        <v>0</v>
      </c>
      <c r="Q123" s="4">
        <v>5.9</v>
      </c>
      <c r="R123" s="4">
        <v>0</v>
      </c>
      <c r="S123" s="4">
        <v>51.1</v>
      </c>
      <c r="T123" s="2" t="s">
        <v>1629</v>
      </c>
      <c r="U123" s="2" t="s">
        <v>1000</v>
      </c>
      <c r="V123" s="2" t="s">
        <v>2</v>
      </c>
      <c r="W123" s="2" t="s">
        <v>2</v>
      </c>
    </row>
    <row r="124" spans="1:23" ht="24" customHeight="1" x14ac:dyDescent="0.3">
      <c r="A124" s="2" t="s">
        <v>680</v>
      </c>
      <c r="B124" s="11"/>
      <c r="C124" s="11"/>
      <c r="D124" s="2" t="s">
        <v>1630</v>
      </c>
      <c r="E124" s="2" t="s">
        <v>1631</v>
      </c>
      <c r="F124" s="2" t="s">
        <v>1632</v>
      </c>
      <c r="G124" s="2" t="s">
        <v>2</v>
      </c>
      <c r="H124" s="2" t="s">
        <v>2</v>
      </c>
      <c r="I124" s="2" t="s">
        <v>2</v>
      </c>
      <c r="J124" s="2" t="s">
        <v>437</v>
      </c>
      <c r="K124" s="3">
        <v>0</v>
      </c>
      <c r="L124" s="3">
        <v>0</v>
      </c>
      <c r="M124" s="3">
        <v>0</v>
      </c>
      <c r="N124" s="3">
        <v>2</v>
      </c>
      <c r="O124" s="4">
        <v>0</v>
      </c>
      <c r="P124" s="4">
        <v>0</v>
      </c>
      <c r="Q124" s="4">
        <v>0</v>
      </c>
      <c r="R124" s="4">
        <v>6</v>
      </c>
      <c r="S124" s="4">
        <v>130.4</v>
      </c>
      <c r="T124" s="2" t="s">
        <v>1633</v>
      </c>
      <c r="U124" s="2" t="s">
        <v>1634</v>
      </c>
      <c r="V124" s="2" t="s">
        <v>2</v>
      </c>
      <c r="W124" s="2" t="s">
        <v>2</v>
      </c>
    </row>
    <row r="125" spans="1:23" ht="24" customHeight="1" x14ac:dyDescent="0.3">
      <c r="A125" s="2" t="s">
        <v>682</v>
      </c>
      <c r="B125" s="11"/>
      <c r="C125" s="11"/>
      <c r="D125" s="2" t="s">
        <v>1635</v>
      </c>
      <c r="E125" s="2" t="s">
        <v>1636</v>
      </c>
      <c r="F125" s="2" t="s">
        <v>1637</v>
      </c>
      <c r="G125" s="2" t="s">
        <v>2</v>
      </c>
      <c r="H125" s="2" t="s">
        <v>2</v>
      </c>
      <c r="I125" s="2" t="s">
        <v>2</v>
      </c>
      <c r="J125" s="2" t="s">
        <v>1623</v>
      </c>
      <c r="K125" s="3">
        <v>0</v>
      </c>
      <c r="L125" s="3">
        <v>0</v>
      </c>
      <c r="M125" s="3">
        <v>0</v>
      </c>
      <c r="N125" s="3">
        <v>2</v>
      </c>
      <c r="O125" s="4">
        <v>0</v>
      </c>
      <c r="P125" s="4">
        <v>0</v>
      </c>
      <c r="Q125" s="4">
        <v>0</v>
      </c>
      <c r="R125" s="4">
        <v>6</v>
      </c>
      <c r="S125" s="4">
        <v>0</v>
      </c>
      <c r="T125" s="2" t="s">
        <v>1638</v>
      </c>
      <c r="U125" s="2" t="s">
        <v>1639</v>
      </c>
      <c r="V125" s="2" t="s">
        <v>2</v>
      </c>
      <c r="W125" s="2" t="s">
        <v>992</v>
      </c>
    </row>
    <row r="126" spans="1:23" ht="24" customHeight="1" x14ac:dyDescent="0.3">
      <c r="A126" s="2" t="s">
        <v>683</v>
      </c>
      <c r="B126" s="11"/>
      <c r="C126" s="11"/>
      <c r="D126" s="2" t="s">
        <v>1640</v>
      </c>
      <c r="E126" s="2" t="s">
        <v>1641</v>
      </c>
      <c r="F126" s="2" t="s">
        <v>1642</v>
      </c>
      <c r="G126" s="2" t="s">
        <v>26</v>
      </c>
      <c r="H126" s="2" t="s">
        <v>196</v>
      </c>
      <c r="I126" s="2" t="s">
        <v>2</v>
      </c>
      <c r="J126" s="2" t="s">
        <v>2</v>
      </c>
      <c r="K126" s="3">
        <v>11</v>
      </c>
      <c r="L126" s="3">
        <v>3</v>
      </c>
      <c r="M126" s="3">
        <v>0</v>
      </c>
      <c r="N126" s="3">
        <v>0</v>
      </c>
      <c r="O126" s="4">
        <v>53.7</v>
      </c>
      <c r="P126" s="4">
        <v>12</v>
      </c>
      <c r="Q126" s="4">
        <v>0</v>
      </c>
      <c r="R126" s="4">
        <v>0</v>
      </c>
      <c r="S126" s="4">
        <v>7953</v>
      </c>
      <c r="T126" s="2" t="s">
        <v>1643</v>
      </c>
      <c r="U126" s="2" t="s">
        <v>1644</v>
      </c>
      <c r="V126" s="2" t="s">
        <v>2</v>
      </c>
      <c r="W126" s="2" t="s">
        <v>2</v>
      </c>
    </row>
    <row r="127" spans="1:23" ht="24" customHeight="1" x14ac:dyDescent="0.3">
      <c r="A127" s="2" t="s">
        <v>685</v>
      </c>
      <c r="B127" s="11"/>
      <c r="C127" s="11"/>
      <c r="D127" s="2" t="s">
        <v>1645</v>
      </c>
      <c r="E127" s="2" t="s">
        <v>1646</v>
      </c>
      <c r="F127" s="2" t="s">
        <v>1647</v>
      </c>
      <c r="G127" s="2" t="s">
        <v>26</v>
      </c>
      <c r="H127" s="2" t="s">
        <v>196</v>
      </c>
      <c r="I127" s="2" t="s">
        <v>2</v>
      </c>
      <c r="J127" s="2" t="s">
        <v>2</v>
      </c>
      <c r="K127" s="3">
        <v>15</v>
      </c>
      <c r="L127" s="3">
        <v>7</v>
      </c>
      <c r="M127" s="3">
        <v>0</v>
      </c>
      <c r="N127" s="3">
        <v>0</v>
      </c>
      <c r="O127" s="4">
        <v>50</v>
      </c>
      <c r="P127" s="4">
        <v>23.8</v>
      </c>
      <c r="Q127" s="4">
        <v>0</v>
      </c>
      <c r="R127" s="4">
        <v>0</v>
      </c>
      <c r="S127" s="4">
        <v>15120.3</v>
      </c>
      <c r="T127" s="2" t="s">
        <v>1648</v>
      </c>
      <c r="U127" s="2" t="s">
        <v>1644</v>
      </c>
      <c r="V127" s="2" t="s">
        <v>2</v>
      </c>
      <c r="W127" s="2" t="s">
        <v>2</v>
      </c>
    </row>
    <row r="128" spans="1:23" ht="24" customHeight="1" x14ac:dyDescent="0.3">
      <c r="A128" s="2" t="s">
        <v>686</v>
      </c>
      <c r="B128" s="11"/>
      <c r="C128" s="11"/>
      <c r="D128" s="2" t="s">
        <v>1649</v>
      </c>
      <c r="E128" s="2" t="s">
        <v>1650</v>
      </c>
      <c r="F128" s="2" t="s">
        <v>1651</v>
      </c>
      <c r="G128" s="2" t="s">
        <v>26</v>
      </c>
      <c r="H128" s="2" t="s">
        <v>196</v>
      </c>
      <c r="I128" s="2" t="s">
        <v>2</v>
      </c>
      <c r="J128" s="2" t="s">
        <v>2</v>
      </c>
      <c r="K128" s="3">
        <v>14</v>
      </c>
      <c r="L128" s="3">
        <v>3</v>
      </c>
      <c r="M128" s="3">
        <v>0</v>
      </c>
      <c r="N128" s="3">
        <v>0</v>
      </c>
      <c r="O128" s="4">
        <v>88.7</v>
      </c>
      <c r="P128" s="4">
        <v>16.3</v>
      </c>
      <c r="Q128" s="4">
        <v>0</v>
      </c>
      <c r="R128" s="4">
        <v>0</v>
      </c>
      <c r="S128" s="4">
        <v>31123.4</v>
      </c>
      <c r="T128" s="2" t="s">
        <v>1652</v>
      </c>
      <c r="U128" s="2" t="s">
        <v>1653</v>
      </c>
      <c r="V128" s="2" t="s">
        <v>2</v>
      </c>
      <c r="W128" s="2" t="s">
        <v>2</v>
      </c>
    </row>
    <row r="129" spans="1:23" ht="24" customHeight="1" x14ac:dyDescent="0.3">
      <c r="A129" s="2" t="s">
        <v>687</v>
      </c>
      <c r="B129" s="11"/>
      <c r="C129" s="11"/>
      <c r="D129" s="2" t="s">
        <v>1654</v>
      </c>
      <c r="E129" s="2" t="s">
        <v>1655</v>
      </c>
      <c r="F129" s="2" t="s">
        <v>1656</v>
      </c>
      <c r="G129" s="2" t="s">
        <v>26</v>
      </c>
      <c r="H129" s="2" t="s">
        <v>196</v>
      </c>
      <c r="I129" s="2" t="s">
        <v>2</v>
      </c>
      <c r="J129" s="2" t="s">
        <v>2</v>
      </c>
      <c r="K129" s="3">
        <v>13</v>
      </c>
      <c r="L129" s="3">
        <v>6</v>
      </c>
      <c r="M129" s="3">
        <v>0</v>
      </c>
      <c r="N129" s="3">
        <v>0</v>
      </c>
      <c r="O129" s="4">
        <v>56.9</v>
      </c>
      <c r="P129" s="4">
        <v>19.2</v>
      </c>
      <c r="Q129" s="4">
        <v>0</v>
      </c>
      <c r="R129" s="4">
        <v>0</v>
      </c>
      <c r="S129" s="4">
        <v>18697.099999999999</v>
      </c>
      <c r="T129" s="2" t="s">
        <v>1657</v>
      </c>
      <c r="U129" s="2" t="s">
        <v>1644</v>
      </c>
      <c r="V129" s="2" t="s">
        <v>2</v>
      </c>
      <c r="W129" s="2" t="s">
        <v>2</v>
      </c>
    </row>
    <row r="130" spans="1:23" ht="24" customHeight="1" x14ac:dyDescent="0.3">
      <c r="A130" s="2" t="s">
        <v>688</v>
      </c>
      <c r="B130" s="11"/>
      <c r="C130" s="11"/>
      <c r="D130" s="2" t="s">
        <v>1658</v>
      </c>
      <c r="E130" s="2" t="s">
        <v>882</v>
      </c>
      <c r="F130" s="2" t="s">
        <v>1659</v>
      </c>
      <c r="G130" s="2" t="s">
        <v>2</v>
      </c>
      <c r="H130" s="2" t="s">
        <v>2</v>
      </c>
      <c r="I130" s="2" t="s">
        <v>437</v>
      </c>
      <c r="J130" s="2" t="s">
        <v>2</v>
      </c>
      <c r="K130" s="3">
        <v>0</v>
      </c>
      <c r="L130" s="3">
        <v>0</v>
      </c>
      <c r="M130" s="3">
        <v>5</v>
      </c>
      <c r="N130" s="3">
        <v>0</v>
      </c>
      <c r="O130" s="4">
        <v>0</v>
      </c>
      <c r="P130" s="4">
        <v>0</v>
      </c>
      <c r="Q130" s="4">
        <v>4.5999999999999996</v>
      </c>
      <c r="R130" s="4">
        <v>0</v>
      </c>
      <c r="S130" s="4">
        <v>41.8</v>
      </c>
      <c r="T130" s="2" t="s">
        <v>2</v>
      </c>
      <c r="U130" s="2" t="s">
        <v>301</v>
      </c>
      <c r="V130" s="2" t="s">
        <v>2</v>
      </c>
      <c r="W130" s="2" t="s">
        <v>2</v>
      </c>
    </row>
    <row r="131" spans="1:23" ht="24" customHeight="1" x14ac:dyDescent="0.3">
      <c r="A131" s="2" t="s">
        <v>690</v>
      </c>
      <c r="B131" s="11"/>
      <c r="C131" s="11"/>
      <c r="D131" s="2" t="s">
        <v>1660</v>
      </c>
      <c r="E131" s="2" t="s">
        <v>1661</v>
      </c>
      <c r="F131" s="2" t="s">
        <v>1662</v>
      </c>
      <c r="G131" s="2" t="s">
        <v>2</v>
      </c>
      <c r="H131" s="2" t="s">
        <v>2</v>
      </c>
      <c r="I131" s="2" t="s">
        <v>2</v>
      </c>
      <c r="J131" s="2" t="s">
        <v>1623</v>
      </c>
      <c r="K131" s="3">
        <v>0</v>
      </c>
      <c r="L131" s="3">
        <v>0</v>
      </c>
      <c r="M131" s="3">
        <v>0</v>
      </c>
      <c r="N131" s="3">
        <v>4</v>
      </c>
      <c r="O131" s="4">
        <v>0</v>
      </c>
      <c r="P131" s="4">
        <v>0</v>
      </c>
      <c r="Q131" s="4">
        <v>0</v>
      </c>
      <c r="R131" s="4">
        <v>70</v>
      </c>
      <c r="S131" s="4">
        <v>5595.7</v>
      </c>
      <c r="T131" s="2" t="s">
        <v>1663</v>
      </c>
      <c r="U131" s="2" t="s">
        <v>1664</v>
      </c>
      <c r="V131" s="2" t="s">
        <v>2</v>
      </c>
      <c r="W131" s="2" t="s">
        <v>2</v>
      </c>
    </row>
    <row r="132" spans="1:23" ht="24" customHeight="1" x14ac:dyDescent="0.3">
      <c r="A132" s="2" t="s">
        <v>691</v>
      </c>
      <c r="B132" s="11"/>
      <c r="C132" s="11"/>
      <c r="D132" s="2" t="s">
        <v>1665</v>
      </c>
      <c r="E132" s="2" t="s">
        <v>1666</v>
      </c>
      <c r="F132" s="2" t="s">
        <v>1667</v>
      </c>
      <c r="G132" s="2" t="s">
        <v>2</v>
      </c>
      <c r="H132" s="2" t="s">
        <v>2</v>
      </c>
      <c r="I132" s="2" t="s">
        <v>2</v>
      </c>
      <c r="J132" s="2" t="s">
        <v>437</v>
      </c>
      <c r="K132" s="3">
        <v>0</v>
      </c>
      <c r="L132" s="3">
        <v>0</v>
      </c>
      <c r="M132" s="3">
        <v>0</v>
      </c>
      <c r="N132" s="3">
        <v>2</v>
      </c>
      <c r="O132" s="4">
        <v>0</v>
      </c>
      <c r="P132" s="4">
        <v>0</v>
      </c>
      <c r="Q132" s="4">
        <v>0</v>
      </c>
      <c r="R132" s="4">
        <v>45.5</v>
      </c>
      <c r="S132" s="4">
        <v>23719.599999999999</v>
      </c>
      <c r="T132" s="2" t="s">
        <v>1668</v>
      </c>
      <c r="U132" s="2" t="s">
        <v>1669</v>
      </c>
      <c r="V132" s="2" t="s">
        <v>1670</v>
      </c>
      <c r="W132" s="2" t="s">
        <v>1317</v>
      </c>
    </row>
    <row r="133" spans="1:23" ht="24" customHeight="1" x14ac:dyDescent="0.3">
      <c r="A133" s="2" t="s">
        <v>691</v>
      </c>
      <c r="B133" s="11"/>
      <c r="C133" s="11"/>
      <c r="D133" s="2" t="s">
        <v>1665</v>
      </c>
      <c r="E133" s="2" t="s">
        <v>1666</v>
      </c>
      <c r="F133" s="2" t="s">
        <v>1667</v>
      </c>
      <c r="G133" s="2" t="s">
        <v>2</v>
      </c>
      <c r="H133" s="2" t="s">
        <v>2</v>
      </c>
      <c r="I133" s="2" t="s">
        <v>1671</v>
      </c>
      <c r="J133" s="2" t="s">
        <v>2</v>
      </c>
      <c r="K133" s="3">
        <v>0</v>
      </c>
      <c r="L133" s="3">
        <v>0</v>
      </c>
      <c r="M133" s="3">
        <v>5</v>
      </c>
      <c r="N133" s="3">
        <v>0</v>
      </c>
      <c r="O133" s="4">
        <v>0</v>
      </c>
      <c r="P133" s="4">
        <v>0</v>
      </c>
      <c r="Q133" s="4">
        <v>25.1</v>
      </c>
      <c r="R133" s="4">
        <v>0</v>
      </c>
      <c r="S133" s="4">
        <v>11859.8</v>
      </c>
      <c r="T133" s="2" t="s">
        <v>1668</v>
      </c>
      <c r="U133" s="2" t="s">
        <v>997</v>
      </c>
      <c r="V133" s="2" t="s">
        <v>828</v>
      </c>
      <c r="W133" s="2" t="s">
        <v>980</v>
      </c>
    </row>
    <row r="134" spans="1:23" ht="24" customHeight="1" x14ac:dyDescent="0.3">
      <c r="A134" s="2" t="s">
        <v>692</v>
      </c>
      <c r="B134" s="11"/>
      <c r="C134" s="11"/>
      <c r="D134" s="2" t="s">
        <v>1672</v>
      </c>
      <c r="E134" s="2" t="s">
        <v>1673</v>
      </c>
      <c r="F134" s="2" t="s">
        <v>1674</v>
      </c>
      <c r="G134" s="2" t="s">
        <v>2</v>
      </c>
      <c r="H134" s="2" t="s">
        <v>2</v>
      </c>
      <c r="I134" s="2" t="s">
        <v>2</v>
      </c>
      <c r="J134" s="2" t="s">
        <v>379</v>
      </c>
      <c r="K134" s="3">
        <v>0</v>
      </c>
      <c r="L134" s="3">
        <v>0</v>
      </c>
      <c r="M134" s="3">
        <v>0</v>
      </c>
      <c r="N134" s="3">
        <v>2</v>
      </c>
      <c r="O134" s="4">
        <v>0</v>
      </c>
      <c r="P134" s="4">
        <v>0</v>
      </c>
      <c r="Q134" s="4">
        <v>0</v>
      </c>
      <c r="R134" s="4">
        <v>46</v>
      </c>
      <c r="S134" s="4">
        <v>5313.3</v>
      </c>
      <c r="T134" s="2" t="s">
        <v>1675</v>
      </c>
      <c r="U134" s="2" t="s">
        <v>1676</v>
      </c>
      <c r="V134" s="2" t="s">
        <v>2</v>
      </c>
      <c r="W134" s="2" t="s">
        <v>2</v>
      </c>
    </row>
    <row r="135" spans="1:23" ht="24" customHeight="1" x14ac:dyDescent="0.3">
      <c r="A135" s="2" t="s">
        <v>694</v>
      </c>
      <c r="B135" s="11"/>
      <c r="C135" s="11"/>
      <c r="D135" s="2" t="s">
        <v>1677</v>
      </c>
      <c r="E135" s="2" t="s">
        <v>1678</v>
      </c>
      <c r="F135" s="2" t="s">
        <v>1679</v>
      </c>
      <c r="G135" s="2" t="s">
        <v>2</v>
      </c>
      <c r="H135" s="2" t="s">
        <v>2</v>
      </c>
      <c r="I135" s="2" t="s">
        <v>2</v>
      </c>
      <c r="J135" s="2" t="s">
        <v>1680</v>
      </c>
      <c r="K135" s="3">
        <v>0</v>
      </c>
      <c r="L135" s="3">
        <v>0</v>
      </c>
      <c r="M135" s="3">
        <v>0</v>
      </c>
      <c r="N135" s="3">
        <v>2</v>
      </c>
      <c r="O135" s="4">
        <v>0</v>
      </c>
      <c r="P135" s="4">
        <v>0</v>
      </c>
      <c r="Q135" s="4">
        <v>0</v>
      </c>
      <c r="R135" s="4">
        <v>51</v>
      </c>
      <c r="S135" s="4">
        <v>0</v>
      </c>
      <c r="T135" s="2" t="s">
        <v>1681</v>
      </c>
      <c r="U135" s="2" t="s">
        <v>1682</v>
      </c>
      <c r="V135" s="2" t="s">
        <v>1683</v>
      </c>
      <c r="W135" s="2" t="s">
        <v>980</v>
      </c>
    </row>
    <row r="136" spans="1:23" ht="24" customHeight="1" x14ac:dyDescent="0.3">
      <c r="A136" s="2" t="s">
        <v>695</v>
      </c>
      <c r="B136" s="11"/>
      <c r="C136" s="11"/>
      <c r="D136" s="2" t="s">
        <v>1684</v>
      </c>
      <c r="E136" s="2" t="s">
        <v>1685</v>
      </c>
      <c r="F136" s="2" t="s">
        <v>1686</v>
      </c>
      <c r="G136" s="2" t="s">
        <v>2</v>
      </c>
      <c r="H136" s="2" t="s">
        <v>2</v>
      </c>
      <c r="I136" s="2" t="s">
        <v>275</v>
      </c>
      <c r="J136" s="2" t="s">
        <v>2</v>
      </c>
      <c r="K136" s="3">
        <v>0</v>
      </c>
      <c r="L136" s="3">
        <v>0</v>
      </c>
      <c r="M136" s="3">
        <v>3</v>
      </c>
      <c r="N136" s="3">
        <v>0</v>
      </c>
      <c r="O136" s="4">
        <v>0</v>
      </c>
      <c r="P136" s="4">
        <v>0</v>
      </c>
      <c r="Q136" s="4">
        <v>12.5</v>
      </c>
      <c r="R136" s="4">
        <v>0</v>
      </c>
      <c r="S136" s="4">
        <v>0</v>
      </c>
      <c r="T136" s="2" t="s">
        <v>1687</v>
      </c>
      <c r="U136" s="2" t="s">
        <v>1688</v>
      </c>
      <c r="V136" s="2" t="s">
        <v>2</v>
      </c>
      <c r="W136" s="2" t="s">
        <v>992</v>
      </c>
    </row>
    <row r="137" spans="1:23" ht="24" customHeight="1" x14ac:dyDescent="0.3">
      <c r="A137" s="2" t="s">
        <v>695</v>
      </c>
      <c r="B137" s="11"/>
      <c r="C137" s="11"/>
      <c r="D137" s="2" t="s">
        <v>1684</v>
      </c>
      <c r="E137" s="2" t="s">
        <v>1685</v>
      </c>
      <c r="F137" s="2" t="s">
        <v>1686</v>
      </c>
      <c r="G137" s="2" t="s">
        <v>2</v>
      </c>
      <c r="H137" s="2" t="s">
        <v>2</v>
      </c>
      <c r="I137" s="2" t="s">
        <v>2</v>
      </c>
      <c r="J137" s="2" t="s">
        <v>379</v>
      </c>
      <c r="K137" s="3">
        <v>0</v>
      </c>
      <c r="L137" s="3">
        <v>0</v>
      </c>
      <c r="M137" s="3">
        <v>0</v>
      </c>
      <c r="N137" s="3">
        <v>2</v>
      </c>
      <c r="O137" s="4">
        <v>0</v>
      </c>
      <c r="P137" s="4">
        <v>0</v>
      </c>
      <c r="Q137" s="4">
        <v>0</v>
      </c>
      <c r="R137" s="4">
        <v>14.5</v>
      </c>
      <c r="S137" s="4">
        <v>0</v>
      </c>
      <c r="T137" s="2" t="s">
        <v>1687</v>
      </c>
      <c r="U137" s="2" t="s">
        <v>561</v>
      </c>
      <c r="V137" s="2" t="s">
        <v>2</v>
      </c>
      <c r="W137" s="2" t="s">
        <v>992</v>
      </c>
    </row>
    <row r="138" spans="1:23" ht="24" customHeight="1" x14ac:dyDescent="0.3">
      <c r="A138" s="2" t="s">
        <v>696</v>
      </c>
      <c r="B138" s="11"/>
      <c r="C138" s="11"/>
      <c r="D138" s="2" t="s">
        <v>1689</v>
      </c>
      <c r="E138" s="2" t="s">
        <v>1690</v>
      </c>
      <c r="F138" s="2" t="s">
        <v>1691</v>
      </c>
      <c r="G138" s="2" t="s">
        <v>2</v>
      </c>
      <c r="H138" s="2" t="s">
        <v>2</v>
      </c>
      <c r="I138" s="2" t="s">
        <v>2</v>
      </c>
      <c r="J138" s="2" t="s">
        <v>379</v>
      </c>
      <c r="K138" s="3">
        <v>0</v>
      </c>
      <c r="L138" s="3">
        <v>0</v>
      </c>
      <c r="M138" s="3">
        <v>0</v>
      </c>
      <c r="N138" s="3">
        <v>2</v>
      </c>
      <c r="O138" s="4">
        <v>0</v>
      </c>
      <c r="P138" s="4">
        <v>0</v>
      </c>
      <c r="Q138" s="4">
        <v>0</v>
      </c>
      <c r="R138" s="4">
        <v>46</v>
      </c>
      <c r="S138" s="4">
        <v>5622.6</v>
      </c>
      <c r="T138" s="2" t="s">
        <v>1692</v>
      </c>
      <c r="U138" s="2" t="s">
        <v>1693</v>
      </c>
      <c r="V138" s="2" t="s">
        <v>2</v>
      </c>
      <c r="W138" s="2" t="s">
        <v>2</v>
      </c>
    </row>
    <row r="139" spans="1:23" ht="24" customHeight="1" x14ac:dyDescent="0.3">
      <c r="A139" s="2" t="s">
        <v>697</v>
      </c>
      <c r="B139" s="11"/>
      <c r="C139" s="11" t="s">
        <v>211</v>
      </c>
      <c r="D139" s="2" t="s">
        <v>1694</v>
      </c>
      <c r="E139" s="2" t="s">
        <v>1695</v>
      </c>
      <c r="F139" s="2" t="s">
        <v>1696</v>
      </c>
      <c r="G139" s="2" t="s">
        <v>26</v>
      </c>
      <c r="H139" s="2" t="s">
        <v>26</v>
      </c>
      <c r="I139" s="2" t="s">
        <v>2</v>
      </c>
      <c r="J139" s="2" t="s">
        <v>2</v>
      </c>
      <c r="K139" s="3">
        <v>9</v>
      </c>
      <c r="L139" s="3">
        <v>5</v>
      </c>
      <c r="M139" s="3">
        <v>0</v>
      </c>
      <c r="N139" s="3">
        <v>0</v>
      </c>
      <c r="O139" s="4">
        <v>60</v>
      </c>
      <c r="P139" s="4">
        <v>30</v>
      </c>
      <c r="Q139" s="4">
        <v>0</v>
      </c>
      <c r="R139" s="4">
        <v>0</v>
      </c>
      <c r="S139" s="4">
        <v>13821.8</v>
      </c>
      <c r="T139" s="2" t="s">
        <v>1697</v>
      </c>
      <c r="U139" s="2" t="s">
        <v>1698</v>
      </c>
      <c r="V139" s="2" t="s">
        <v>2</v>
      </c>
      <c r="W139" s="2" t="s">
        <v>2</v>
      </c>
    </row>
    <row r="140" spans="1:23" ht="24" customHeight="1" x14ac:dyDescent="0.3">
      <c r="A140" s="2" t="s">
        <v>698</v>
      </c>
      <c r="B140" s="11"/>
      <c r="C140" s="11"/>
      <c r="D140" s="2" t="s">
        <v>1699</v>
      </c>
      <c r="E140" s="2" t="s">
        <v>1455</v>
      </c>
      <c r="F140" s="2" t="s">
        <v>1700</v>
      </c>
      <c r="G140" s="2" t="s">
        <v>26</v>
      </c>
      <c r="H140" s="2" t="s">
        <v>26</v>
      </c>
      <c r="I140" s="2" t="s">
        <v>2</v>
      </c>
      <c r="J140" s="2" t="s">
        <v>2</v>
      </c>
      <c r="K140" s="3">
        <v>5</v>
      </c>
      <c r="L140" s="3">
        <v>3</v>
      </c>
      <c r="M140" s="3">
        <v>0</v>
      </c>
      <c r="N140" s="3">
        <v>0</v>
      </c>
      <c r="O140" s="4">
        <v>30</v>
      </c>
      <c r="P140" s="4">
        <v>17</v>
      </c>
      <c r="Q140" s="4">
        <v>0</v>
      </c>
      <c r="R140" s="4">
        <v>0</v>
      </c>
      <c r="S140" s="4">
        <v>19031.3</v>
      </c>
      <c r="T140" s="2" t="s">
        <v>1457</v>
      </c>
      <c r="U140" s="2" t="s">
        <v>1698</v>
      </c>
      <c r="V140" s="2" t="s">
        <v>2</v>
      </c>
      <c r="W140" s="2" t="s">
        <v>2</v>
      </c>
    </row>
    <row r="141" spans="1:23" ht="24" customHeight="1" x14ac:dyDescent="0.3">
      <c r="A141" s="2" t="s">
        <v>699</v>
      </c>
      <c r="B141" s="11"/>
      <c r="C141" s="11"/>
      <c r="D141" s="2" t="s">
        <v>1701</v>
      </c>
      <c r="E141" s="2" t="s">
        <v>1702</v>
      </c>
      <c r="F141" s="2" t="s">
        <v>1703</v>
      </c>
      <c r="G141" s="2" t="s">
        <v>2</v>
      </c>
      <c r="H141" s="2" t="s">
        <v>2</v>
      </c>
      <c r="I141" s="2" t="s">
        <v>2</v>
      </c>
      <c r="J141" s="2" t="s">
        <v>28</v>
      </c>
      <c r="K141" s="3">
        <v>0</v>
      </c>
      <c r="L141" s="3">
        <v>0</v>
      </c>
      <c r="M141" s="3">
        <v>0</v>
      </c>
      <c r="N141" s="3">
        <v>2</v>
      </c>
      <c r="O141" s="4">
        <v>0</v>
      </c>
      <c r="P141" s="4">
        <v>0</v>
      </c>
      <c r="Q141" s="4">
        <v>0</v>
      </c>
      <c r="R141" s="4">
        <v>2.9</v>
      </c>
      <c r="S141" s="4">
        <v>0</v>
      </c>
      <c r="T141" s="2" t="s">
        <v>2</v>
      </c>
      <c r="U141" s="2" t="s">
        <v>1704</v>
      </c>
      <c r="V141" s="2" t="s">
        <v>1089</v>
      </c>
      <c r="W141" s="2" t="s">
        <v>2</v>
      </c>
    </row>
    <row r="142" spans="1:23" ht="24" customHeight="1" x14ac:dyDescent="0.3">
      <c r="A142" s="2" t="s">
        <v>700</v>
      </c>
      <c r="B142" s="11"/>
      <c r="C142" s="11"/>
      <c r="D142" s="2" t="s">
        <v>1705</v>
      </c>
      <c r="E142" s="2" t="s">
        <v>1706</v>
      </c>
      <c r="F142" s="2" t="s">
        <v>1707</v>
      </c>
      <c r="G142" s="2" t="s">
        <v>2</v>
      </c>
      <c r="H142" s="2" t="s">
        <v>2</v>
      </c>
      <c r="I142" s="2" t="s">
        <v>27</v>
      </c>
      <c r="J142" s="2" t="s">
        <v>2</v>
      </c>
      <c r="K142" s="3">
        <v>0</v>
      </c>
      <c r="L142" s="3">
        <v>0</v>
      </c>
      <c r="M142" s="3">
        <v>3</v>
      </c>
      <c r="N142" s="3">
        <v>0</v>
      </c>
      <c r="O142" s="4">
        <v>0</v>
      </c>
      <c r="P142" s="4">
        <v>0</v>
      </c>
      <c r="Q142" s="4">
        <v>20</v>
      </c>
      <c r="R142" s="4">
        <v>0</v>
      </c>
      <c r="S142" s="4">
        <v>508.5</v>
      </c>
      <c r="T142" s="2" t="s">
        <v>2</v>
      </c>
      <c r="U142" s="2" t="s">
        <v>873</v>
      </c>
      <c r="V142" s="2" t="s">
        <v>2</v>
      </c>
      <c r="W142" s="2" t="s">
        <v>2</v>
      </c>
    </row>
    <row r="143" spans="1:23" ht="24" customHeight="1" x14ac:dyDescent="0.3">
      <c r="A143" s="2" t="s">
        <v>702</v>
      </c>
      <c r="B143" s="11"/>
      <c r="C143" s="11"/>
      <c r="D143" s="2" t="s">
        <v>1708</v>
      </c>
      <c r="E143" s="2" t="s">
        <v>1709</v>
      </c>
      <c r="F143" s="2" t="s">
        <v>1710</v>
      </c>
      <c r="G143" s="2" t="s">
        <v>2</v>
      </c>
      <c r="H143" s="2" t="s">
        <v>2</v>
      </c>
      <c r="I143" s="2" t="s">
        <v>27</v>
      </c>
      <c r="J143" s="2" t="s">
        <v>2</v>
      </c>
      <c r="K143" s="3">
        <v>0</v>
      </c>
      <c r="L143" s="3">
        <v>0</v>
      </c>
      <c r="M143" s="3">
        <v>9</v>
      </c>
      <c r="N143" s="3">
        <v>0</v>
      </c>
      <c r="O143" s="4">
        <v>0</v>
      </c>
      <c r="P143" s="4">
        <v>0</v>
      </c>
      <c r="Q143" s="4">
        <v>180</v>
      </c>
      <c r="R143" s="4">
        <v>0</v>
      </c>
      <c r="S143" s="4">
        <v>47310.2</v>
      </c>
      <c r="T143" s="2" t="s">
        <v>1711</v>
      </c>
      <c r="U143" s="2" t="s">
        <v>1712</v>
      </c>
      <c r="V143" s="2" t="s">
        <v>2</v>
      </c>
      <c r="W143" s="2" t="s">
        <v>2</v>
      </c>
    </row>
    <row r="144" spans="1:23" ht="24" customHeight="1" x14ac:dyDescent="0.3">
      <c r="A144" s="2" t="s">
        <v>703</v>
      </c>
      <c r="B144" s="11"/>
      <c r="C144" s="11"/>
      <c r="D144" s="2" t="s">
        <v>1713</v>
      </c>
      <c r="E144" s="2" t="s">
        <v>1714</v>
      </c>
      <c r="F144" s="2" t="s">
        <v>1715</v>
      </c>
      <c r="G144" s="2" t="s">
        <v>2</v>
      </c>
      <c r="H144" s="2" t="s">
        <v>2</v>
      </c>
      <c r="I144" s="2" t="s">
        <v>27</v>
      </c>
      <c r="J144" s="2" t="s">
        <v>2</v>
      </c>
      <c r="K144" s="3">
        <v>0</v>
      </c>
      <c r="L144" s="3">
        <v>0</v>
      </c>
      <c r="M144" s="3">
        <v>9</v>
      </c>
      <c r="N144" s="3">
        <v>0</v>
      </c>
      <c r="O144" s="4">
        <v>0</v>
      </c>
      <c r="P144" s="4">
        <v>0</v>
      </c>
      <c r="Q144" s="4">
        <v>27</v>
      </c>
      <c r="R144" s="4">
        <v>0</v>
      </c>
      <c r="S144" s="4">
        <v>22.7</v>
      </c>
      <c r="T144" s="2" t="s">
        <v>1716</v>
      </c>
      <c r="U144" s="2" t="s">
        <v>1639</v>
      </c>
      <c r="V144" s="2" t="s">
        <v>2</v>
      </c>
      <c r="W144" s="2" t="s">
        <v>2</v>
      </c>
    </row>
    <row r="145" spans="1:23" ht="24" customHeight="1" x14ac:dyDescent="0.3">
      <c r="A145" s="2" t="s">
        <v>703</v>
      </c>
      <c r="B145" s="11"/>
      <c r="C145" s="11"/>
      <c r="D145" s="2" t="s">
        <v>1713</v>
      </c>
      <c r="E145" s="2" t="s">
        <v>1714</v>
      </c>
      <c r="F145" s="2" t="s">
        <v>1715</v>
      </c>
      <c r="G145" s="2" t="s">
        <v>2</v>
      </c>
      <c r="H145" s="2" t="s">
        <v>2</v>
      </c>
      <c r="I145" s="2" t="s">
        <v>2</v>
      </c>
      <c r="J145" s="2" t="s">
        <v>28</v>
      </c>
      <c r="K145" s="3">
        <v>0</v>
      </c>
      <c r="L145" s="3">
        <v>0</v>
      </c>
      <c r="M145" s="3">
        <v>0</v>
      </c>
      <c r="N145" s="3">
        <v>2</v>
      </c>
      <c r="O145" s="4">
        <v>0</v>
      </c>
      <c r="P145" s="4">
        <v>0</v>
      </c>
      <c r="Q145" s="4">
        <v>0</v>
      </c>
      <c r="R145" s="4">
        <v>5</v>
      </c>
      <c r="S145" s="4">
        <v>22.7</v>
      </c>
      <c r="T145" s="2" t="s">
        <v>1716</v>
      </c>
      <c r="U145" s="2" t="s">
        <v>1717</v>
      </c>
      <c r="V145" s="2" t="s">
        <v>2</v>
      </c>
      <c r="W145" s="2" t="s">
        <v>2</v>
      </c>
    </row>
    <row r="146" spans="1:23" ht="24" customHeight="1" x14ac:dyDescent="0.3">
      <c r="A146" s="2" t="s">
        <v>704</v>
      </c>
      <c r="B146" s="11"/>
      <c r="C146" s="11"/>
      <c r="D146" s="2" t="s">
        <v>1718</v>
      </c>
      <c r="E146" s="2" t="s">
        <v>1719</v>
      </c>
      <c r="F146" s="2" t="s">
        <v>1720</v>
      </c>
      <c r="G146" s="2" t="s">
        <v>2</v>
      </c>
      <c r="H146" s="2" t="s">
        <v>2</v>
      </c>
      <c r="I146" s="2" t="s">
        <v>2</v>
      </c>
      <c r="J146" s="2" t="s">
        <v>28</v>
      </c>
      <c r="K146" s="3">
        <v>0</v>
      </c>
      <c r="L146" s="3">
        <v>0</v>
      </c>
      <c r="M146" s="3">
        <v>0</v>
      </c>
      <c r="N146" s="3">
        <v>3</v>
      </c>
      <c r="O146" s="4">
        <v>0</v>
      </c>
      <c r="P146" s="4">
        <v>0</v>
      </c>
      <c r="Q146" s="4">
        <v>0</v>
      </c>
      <c r="R146" s="4">
        <v>15</v>
      </c>
      <c r="S146" s="4">
        <v>0</v>
      </c>
      <c r="T146" s="2" t="s">
        <v>1721</v>
      </c>
      <c r="U146" s="2" t="s">
        <v>1722</v>
      </c>
      <c r="V146" s="2" t="s">
        <v>2</v>
      </c>
      <c r="W146" s="2" t="s">
        <v>2</v>
      </c>
    </row>
    <row r="147" spans="1:23" ht="24" customHeight="1" x14ac:dyDescent="0.3">
      <c r="A147" s="2" t="s">
        <v>705</v>
      </c>
      <c r="B147" s="11"/>
      <c r="C147" s="11"/>
      <c r="D147" s="2" t="s">
        <v>1723</v>
      </c>
      <c r="E147" s="2" t="s">
        <v>1724</v>
      </c>
      <c r="F147" s="2" t="s">
        <v>1725</v>
      </c>
      <c r="G147" s="2" t="s">
        <v>26</v>
      </c>
      <c r="H147" s="2" t="s">
        <v>26</v>
      </c>
      <c r="I147" s="2" t="s">
        <v>2</v>
      </c>
      <c r="J147" s="2" t="s">
        <v>2</v>
      </c>
      <c r="K147" s="3">
        <v>9</v>
      </c>
      <c r="L147" s="3">
        <v>4</v>
      </c>
      <c r="M147" s="3">
        <v>0</v>
      </c>
      <c r="N147" s="3">
        <v>0</v>
      </c>
      <c r="O147" s="4">
        <v>54</v>
      </c>
      <c r="P147" s="4">
        <v>24</v>
      </c>
      <c r="Q147" s="4">
        <v>0</v>
      </c>
      <c r="R147" s="4">
        <v>0</v>
      </c>
      <c r="S147" s="4">
        <v>17026.3</v>
      </c>
      <c r="T147" s="2" t="s">
        <v>1726</v>
      </c>
      <c r="U147" s="2" t="s">
        <v>1698</v>
      </c>
      <c r="V147" s="2" t="s">
        <v>2</v>
      </c>
      <c r="W147" s="2" t="s">
        <v>2</v>
      </c>
    </row>
    <row r="148" spans="1:23" ht="24" customHeight="1" x14ac:dyDescent="0.3">
      <c r="A148" s="2" t="s">
        <v>378</v>
      </c>
      <c r="B148" s="11"/>
      <c r="C148" s="11"/>
      <c r="D148" s="2" t="s">
        <v>1727</v>
      </c>
      <c r="E148" s="2" t="s">
        <v>1728</v>
      </c>
      <c r="F148" s="2" t="s">
        <v>1729</v>
      </c>
      <c r="G148" s="2" t="s">
        <v>2</v>
      </c>
      <c r="H148" s="2" t="s">
        <v>2</v>
      </c>
      <c r="I148" s="2" t="s">
        <v>2</v>
      </c>
      <c r="J148" s="2" t="s">
        <v>28</v>
      </c>
      <c r="K148" s="3">
        <v>0</v>
      </c>
      <c r="L148" s="3">
        <v>0</v>
      </c>
      <c r="M148" s="3">
        <v>0</v>
      </c>
      <c r="N148" s="3">
        <v>2</v>
      </c>
      <c r="O148" s="4">
        <v>0</v>
      </c>
      <c r="P148" s="4">
        <v>0</v>
      </c>
      <c r="Q148" s="4">
        <v>0</v>
      </c>
      <c r="R148" s="4">
        <v>2</v>
      </c>
      <c r="S148" s="4">
        <v>32.200000000000003</v>
      </c>
      <c r="T148" s="2" t="s">
        <v>2</v>
      </c>
      <c r="U148" s="2" t="s">
        <v>1730</v>
      </c>
      <c r="V148" s="2" t="s">
        <v>2</v>
      </c>
      <c r="W148" s="2" t="s">
        <v>2</v>
      </c>
    </row>
    <row r="149" spans="1:23" ht="24" customHeight="1" x14ac:dyDescent="0.3">
      <c r="A149" s="2" t="s">
        <v>707</v>
      </c>
      <c r="B149" s="11"/>
      <c r="C149" s="11"/>
      <c r="D149" s="2" t="s">
        <v>1731</v>
      </c>
      <c r="E149" s="2" t="s">
        <v>1732</v>
      </c>
      <c r="F149" s="2" t="s">
        <v>1733</v>
      </c>
      <c r="G149" s="2" t="s">
        <v>2</v>
      </c>
      <c r="H149" s="2" t="s">
        <v>2</v>
      </c>
      <c r="I149" s="2" t="s">
        <v>2</v>
      </c>
      <c r="J149" s="2" t="s">
        <v>28</v>
      </c>
      <c r="K149" s="3">
        <v>0</v>
      </c>
      <c r="L149" s="3">
        <v>0</v>
      </c>
      <c r="M149" s="3">
        <v>0</v>
      </c>
      <c r="N149" s="3">
        <v>5</v>
      </c>
      <c r="O149" s="4">
        <v>0</v>
      </c>
      <c r="P149" s="4">
        <v>0</v>
      </c>
      <c r="Q149" s="4">
        <v>0</v>
      </c>
      <c r="R149" s="4">
        <v>15</v>
      </c>
      <c r="S149" s="4">
        <v>11037.7</v>
      </c>
      <c r="T149" s="2" t="s">
        <v>1734</v>
      </c>
      <c r="U149" s="2" t="s">
        <v>1735</v>
      </c>
      <c r="V149" s="2" t="s">
        <v>2</v>
      </c>
      <c r="W149" s="2" t="s">
        <v>2</v>
      </c>
    </row>
    <row r="150" spans="1:23" ht="24" customHeight="1" x14ac:dyDescent="0.3">
      <c r="A150" s="2" t="s">
        <v>708</v>
      </c>
      <c r="B150" s="11"/>
      <c r="C150" s="11"/>
      <c r="D150" s="2" t="s">
        <v>1736</v>
      </c>
      <c r="E150" s="2" t="s">
        <v>1737</v>
      </c>
      <c r="F150" s="2" t="s">
        <v>1738</v>
      </c>
      <c r="G150" s="2" t="s">
        <v>2</v>
      </c>
      <c r="H150" s="2" t="s">
        <v>2</v>
      </c>
      <c r="I150" s="2" t="s">
        <v>2</v>
      </c>
      <c r="J150" s="2" t="s">
        <v>28</v>
      </c>
      <c r="K150" s="3">
        <v>0</v>
      </c>
      <c r="L150" s="3">
        <v>0</v>
      </c>
      <c r="M150" s="3">
        <v>0</v>
      </c>
      <c r="N150" s="3">
        <v>6</v>
      </c>
      <c r="O150" s="4">
        <v>0</v>
      </c>
      <c r="P150" s="4">
        <v>0</v>
      </c>
      <c r="Q150" s="4">
        <v>0</v>
      </c>
      <c r="R150" s="4">
        <v>120</v>
      </c>
      <c r="S150" s="4">
        <v>17216.8</v>
      </c>
      <c r="T150" s="2" t="s">
        <v>1739</v>
      </c>
      <c r="U150" s="2" t="s">
        <v>1740</v>
      </c>
      <c r="V150" s="2" t="s">
        <v>2</v>
      </c>
      <c r="W150" s="2" t="s">
        <v>2</v>
      </c>
    </row>
    <row r="151" spans="1:23" ht="24" customHeight="1" x14ac:dyDescent="0.3">
      <c r="A151" s="2" t="s">
        <v>708</v>
      </c>
      <c r="B151" s="11"/>
      <c r="C151" s="11"/>
      <c r="D151" s="2" t="s">
        <v>1736</v>
      </c>
      <c r="E151" s="2" t="s">
        <v>1737</v>
      </c>
      <c r="F151" s="2" t="s">
        <v>1738</v>
      </c>
      <c r="G151" s="2" t="s">
        <v>2</v>
      </c>
      <c r="H151" s="2" t="s">
        <v>2</v>
      </c>
      <c r="I151" s="2" t="s">
        <v>27</v>
      </c>
      <c r="J151" s="2" t="s">
        <v>2</v>
      </c>
      <c r="K151" s="3">
        <v>0</v>
      </c>
      <c r="L151" s="3">
        <v>0</v>
      </c>
      <c r="M151" s="3">
        <v>4</v>
      </c>
      <c r="N151" s="3">
        <v>0</v>
      </c>
      <c r="O151" s="4">
        <v>0</v>
      </c>
      <c r="P151" s="4">
        <v>0</v>
      </c>
      <c r="Q151" s="4">
        <v>50</v>
      </c>
      <c r="R151" s="4">
        <v>0</v>
      </c>
      <c r="S151" s="4">
        <v>34433.699999999997</v>
      </c>
      <c r="T151" s="2" t="s">
        <v>1739</v>
      </c>
      <c r="U151" s="2" t="s">
        <v>559</v>
      </c>
      <c r="V151" s="2" t="s">
        <v>2</v>
      </c>
      <c r="W151" s="2" t="s">
        <v>2</v>
      </c>
    </row>
    <row r="152" spans="1:23" ht="24" customHeight="1" x14ac:dyDescent="0.3">
      <c r="A152" s="2" t="s">
        <v>709</v>
      </c>
      <c r="B152" s="11"/>
      <c r="C152" s="11"/>
      <c r="D152" s="2" t="s">
        <v>1741</v>
      </c>
      <c r="E152" s="2" t="s">
        <v>1742</v>
      </c>
      <c r="F152" s="2" t="s">
        <v>1743</v>
      </c>
      <c r="G152" s="2" t="s">
        <v>2</v>
      </c>
      <c r="H152" s="2" t="s">
        <v>2</v>
      </c>
      <c r="I152" s="2" t="s">
        <v>2</v>
      </c>
      <c r="J152" s="2" t="s">
        <v>28</v>
      </c>
      <c r="K152" s="3">
        <v>0</v>
      </c>
      <c r="L152" s="3">
        <v>0</v>
      </c>
      <c r="M152" s="3">
        <v>0</v>
      </c>
      <c r="N152" s="3">
        <v>13</v>
      </c>
      <c r="O152" s="4">
        <v>0</v>
      </c>
      <c r="P152" s="4">
        <v>0</v>
      </c>
      <c r="Q152" s="4">
        <v>0</v>
      </c>
      <c r="R152" s="4">
        <v>180</v>
      </c>
      <c r="S152" s="4">
        <v>77318.8</v>
      </c>
      <c r="T152" s="2" t="s">
        <v>1744</v>
      </c>
      <c r="U152" s="2" t="s">
        <v>1745</v>
      </c>
      <c r="V152" s="2" t="s">
        <v>2</v>
      </c>
      <c r="W152" s="2" t="s">
        <v>2</v>
      </c>
    </row>
    <row r="153" spans="1:23" ht="24" customHeight="1" x14ac:dyDescent="0.3">
      <c r="A153" s="2" t="s">
        <v>711</v>
      </c>
      <c r="B153" s="11"/>
      <c r="C153" s="11"/>
      <c r="D153" s="2" t="s">
        <v>1746</v>
      </c>
      <c r="E153" s="2" t="s">
        <v>1747</v>
      </c>
      <c r="F153" s="2" t="s">
        <v>1748</v>
      </c>
      <c r="G153" s="2" t="s">
        <v>2</v>
      </c>
      <c r="H153" s="2" t="s">
        <v>2</v>
      </c>
      <c r="I153" s="2" t="s">
        <v>2</v>
      </c>
      <c r="J153" s="2" t="s">
        <v>28</v>
      </c>
      <c r="K153" s="3">
        <v>0</v>
      </c>
      <c r="L153" s="3">
        <v>0</v>
      </c>
      <c r="M153" s="3">
        <v>0</v>
      </c>
      <c r="N153" s="3">
        <v>3</v>
      </c>
      <c r="O153" s="4">
        <v>0</v>
      </c>
      <c r="P153" s="4">
        <v>0</v>
      </c>
      <c r="Q153" s="4">
        <v>0</v>
      </c>
      <c r="R153" s="4">
        <v>26</v>
      </c>
      <c r="S153" s="4">
        <v>288</v>
      </c>
      <c r="T153" s="2" t="s">
        <v>1749</v>
      </c>
      <c r="U153" s="2" t="s">
        <v>1750</v>
      </c>
      <c r="V153" s="2" t="s">
        <v>2</v>
      </c>
      <c r="W153" s="2" t="s">
        <v>2</v>
      </c>
    </row>
    <row r="154" spans="1:23" ht="24" customHeight="1" x14ac:dyDescent="0.3">
      <c r="A154" s="2" t="s">
        <v>712</v>
      </c>
      <c r="B154" s="11"/>
      <c r="C154" s="11"/>
      <c r="D154" s="2" t="s">
        <v>1751</v>
      </c>
      <c r="E154" s="2" t="s">
        <v>1752</v>
      </c>
      <c r="F154" s="2" t="s">
        <v>1753</v>
      </c>
      <c r="G154" s="2" t="s">
        <v>2</v>
      </c>
      <c r="H154" s="2" t="s">
        <v>2</v>
      </c>
      <c r="I154" s="2" t="s">
        <v>2</v>
      </c>
      <c r="J154" s="2" t="s">
        <v>28</v>
      </c>
      <c r="K154" s="3">
        <v>0</v>
      </c>
      <c r="L154" s="3">
        <v>0</v>
      </c>
      <c r="M154" s="3">
        <v>0</v>
      </c>
      <c r="N154" s="3">
        <v>7</v>
      </c>
      <c r="O154" s="4">
        <v>0</v>
      </c>
      <c r="P154" s="4">
        <v>0</v>
      </c>
      <c r="Q154" s="4">
        <v>0</v>
      </c>
      <c r="R154" s="4">
        <v>150</v>
      </c>
      <c r="S154" s="4">
        <v>26602.3</v>
      </c>
      <c r="T154" s="2" t="s">
        <v>1754</v>
      </c>
      <c r="U154" s="2" t="s">
        <v>305</v>
      </c>
      <c r="V154" s="2" t="s">
        <v>2</v>
      </c>
      <c r="W154" s="2" t="s">
        <v>2</v>
      </c>
    </row>
    <row r="155" spans="1:23" ht="24" customHeight="1" x14ac:dyDescent="0.3">
      <c r="A155" s="2" t="s">
        <v>713</v>
      </c>
      <c r="B155" s="11"/>
      <c r="C155" s="11"/>
      <c r="D155" s="2" t="s">
        <v>635</v>
      </c>
      <c r="E155" s="2" t="s">
        <v>1755</v>
      </c>
      <c r="F155" s="2" t="s">
        <v>1756</v>
      </c>
      <c r="G155" s="2" t="s">
        <v>2</v>
      </c>
      <c r="H155" s="2" t="s">
        <v>2</v>
      </c>
      <c r="I155" s="2" t="s">
        <v>2</v>
      </c>
      <c r="J155" s="2" t="s">
        <v>28</v>
      </c>
      <c r="K155" s="3">
        <v>0</v>
      </c>
      <c r="L155" s="3">
        <v>0</v>
      </c>
      <c r="M155" s="3">
        <v>0</v>
      </c>
      <c r="N155" s="3">
        <v>2</v>
      </c>
      <c r="O155" s="4">
        <v>0</v>
      </c>
      <c r="P155" s="4">
        <v>0</v>
      </c>
      <c r="Q155" s="4">
        <v>0</v>
      </c>
      <c r="R155" s="4">
        <v>3.5</v>
      </c>
      <c r="S155" s="4">
        <v>395.1</v>
      </c>
      <c r="T155" s="2" t="s">
        <v>1757</v>
      </c>
      <c r="U155" s="2" t="s">
        <v>1758</v>
      </c>
      <c r="V155" s="2" t="s">
        <v>2</v>
      </c>
      <c r="W155" s="2" t="s">
        <v>2</v>
      </c>
    </row>
    <row r="156" spans="1:23" ht="24" customHeight="1" x14ac:dyDescent="0.3">
      <c r="A156" s="2" t="s">
        <v>714</v>
      </c>
      <c r="B156" s="11"/>
      <c r="C156" s="11"/>
      <c r="D156" s="2" t="s">
        <v>1759</v>
      </c>
      <c r="E156" s="2" t="s">
        <v>1760</v>
      </c>
      <c r="F156" s="2" t="s">
        <v>1761</v>
      </c>
      <c r="G156" s="2" t="s">
        <v>2</v>
      </c>
      <c r="H156" s="2" t="s">
        <v>2</v>
      </c>
      <c r="I156" s="2" t="s">
        <v>2</v>
      </c>
      <c r="J156" s="2" t="s">
        <v>28</v>
      </c>
      <c r="K156" s="3">
        <v>0</v>
      </c>
      <c r="L156" s="3">
        <v>0</v>
      </c>
      <c r="M156" s="3">
        <v>0</v>
      </c>
      <c r="N156" s="3">
        <v>41</v>
      </c>
      <c r="O156" s="4">
        <v>0</v>
      </c>
      <c r="P156" s="4">
        <v>0</v>
      </c>
      <c r="Q156" s="4">
        <v>0</v>
      </c>
      <c r="R156" s="4">
        <v>80</v>
      </c>
      <c r="S156" s="4">
        <v>372</v>
      </c>
      <c r="T156" s="2" t="s">
        <v>1762</v>
      </c>
      <c r="U156" s="2" t="s">
        <v>1763</v>
      </c>
      <c r="V156" s="2" t="s">
        <v>2</v>
      </c>
      <c r="W156" s="2" t="s">
        <v>2</v>
      </c>
    </row>
    <row r="157" spans="1:23" ht="24" customHeight="1" x14ac:dyDescent="0.3">
      <c r="A157" s="2" t="s">
        <v>715</v>
      </c>
      <c r="B157" s="11"/>
      <c r="C157" s="11"/>
      <c r="D157" s="2" t="s">
        <v>1764</v>
      </c>
      <c r="E157" s="2" t="s">
        <v>1765</v>
      </c>
      <c r="F157" s="2" t="s">
        <v>1766</v>
      </c>
      <c r="G157" s="2" t="s">
        <v>2</v>
      </c>
      <c r="H157" s="2" t="s">
        <v>2</v>
      </c>
      <c r="I157" s="2" t="s">
        <v>2</v>
      </c>
      <c r="J157" s="2" t="s">
        <v>28</v>
      </c>
      <c r="K157" s="3">
        <v>0</v>
      </c>
      <c r="L157" s="3">
        <v>0</v>
      </c>
      <c r="M157" s="3">
        <v>0</v>
      </c>
      <c r="N157" s="3">
        <v>4</v>
      </c>
      <c r="O157" s="4">
        <v>0</v>
      </c>
      <c r="P157" s="4">
        <v>0</v>
      </c>
      <c r="Q157" s="4">
        <v>0</v>
      </c>
      <c r="R157" s="4">
        <v>11.2</v>
      </c>
      <c r="S157" s="4">
        <v>0</v>
      </c>
      <c r="T157" s="2" t="s">
        <v>2</v>
      </c>
      <c r="U157" s="2" t="s">
        <v>651</v>
      </c>
      <c r="V157" s="2" t="s">
        <v>2</v>
      </c>
      <c r="W157" s="2" t="s">
        <v>510</v>
      </c>
    </row>
    <row r="158" spans="1:23" ht="24" customHeight="1" x14ac:dyDescent="0.3">
      <c r="A158" s="2" t="s">
        <v>716</v>
      </c>
      <c r="B158" s="11"/>
      <c r="C158" s="11"/>
      <c r="D158" s="2" t="s">
        <v>1767</v>
      </c>
      <c r="E158" s="2" t="s">
        <v>1768</v>
      </c>
      <c r="F158" s="2" t="s">
        <v>1769</v>
      </c>
      <c r="G158" s="2" t="s">
        <v>2</v>
      </c>
      <c r="H158" s="2" t="s">
        <v>2</v>
      </c>
      <c r="I158" s="2" t="s">
        <v>27</v>
      </c>
      <c r="J158" s="2" t="s">
        <v>2</v>
      </c>
      <c r="K158" s="3">
        <v>0</v>
      </c>
      <c r="L158" s="3">
        <v>0</v>
      </c>
      <c r="M158" s="3">
        <v>20</v>
      </c>
      <c r="N158" s="3">
        <v>0</v>
      </c>
      <c r="O158" s="4">
        <v>0</v>
      </c>
      <c r="P158" s="4">
        <v>0</v>
      </c>
      <c r="Q158" s="4">
        <v>32</v>
      </c>
      <c r="R158" s="4">
        <v>0</v>
      </c>
      <c r="S158" s="4">
        <v>3102.7</v>
      </c>
      <c r="T158" s="2" t="s">
        <v>1770</v>
      </c>
      <c r="U158" s="2" t="s">
        <v>1771</v>
      </c>
      <c r="V158" s="2" t="s">
        <v>2</v>
      </c>
      <c r="W158" s="2" t="s">
        <v>2</v>
      </c>
    </row>
    <row r="159" spans="1:23" ht="24" customHeight="1" x14ac:dyDescent="0.3">
      <c r="A159" s="2" t="s">
        <v>716</v>
      </c>
      <c r="B159" s="11"/>
      <c r="C159" s="11"/>
      <c r="D159" s="2" t="s">
        <v>1767</v>
      </c>
      <c r="E159" s="2" t="s">
        <v>1768</v>
      </c>
      <c r="F159" s="2" t="s">
        <v>1769</v>
      </c>
      <c r="G159" s="2" t="s">
        <v>2</v>
      </c>
      <c r="H159" s="2" t="s">
        <v>2</v>
      </c>
      <c r="I159" s="2" t="s">
        <v>2</v>
      </c>
      <c r="J159" s="2" t="s">
        <v>28</v>
      </c>
      <c r="K159" s="3">
        <v>0</v>
      </c>
      <c r="L159" s="3">
        <v>0</v>
      </c>
      <c r="M159" s="3">
        <v>0</v>
      </c>
      <c r="N159" s="3">
        <v>2</v>
      </c>
      <c r="O159" s="4">
        <v>0</v>
      </c>
      <c r="P159" s="4">
        <v>0</v>
      </c>
      <c r="Q159" s="4">
        <v>0</v>
      </c>
      <c r="R159" s="4">
        <v>3</v>
      </c>
      <c r="S159" s="4">
        <v>10242.299999999999</v>
      </c>
      <c r="T159" s="2" t="s">
        <v>1770</v>
      </c>
      <c r="U159" s="2" t="s">
        <v>1771</v>
      </c>
      <c r="V159" s="2" t="s">
        <v>2</v>
      </c>
      <c r="W159" s="2" t="s">
        <v>2</v>
      </c>
    </row>
    <row r="160" spans="1:23" ht="24" customHeight="1" x14ac:dyDescent="0.3">
      <c r="A160" s="2" t="s">
        <v>717</v>
      </c>
      <c r="B160" s="11"/>
      <c r="C160" s="11"/>
      <c r="D160" s="2" t="s">
        <v>1772</v>
      </c>
      <c r="E160" s="2" t="s">
        <v>1773</v>
      </c>
      <c r="F160" s="2" t="s">
        <v>1774</v>
      </c>
      <c r="G160" s="2" t="s">
        <v>2</v>
      </c>
      <c r="H160" s="2" t="s">
        <v>2</v>
      </c>
      <c r="I160" s="2" t="s">
        <v>2</v>
      </c>
      <c r="J160" s="2" t="s">
        <v>28</v>
      </c>
      <c r="K160" s="3">
        <v>0</v>
      </c>
      <c r="L160" s="3">
        <v>0</v>
      </c>
      <c r="M160" s="3">
        <v>0</v>
      </c>
      <c r="N160" s="3">
        <v>2</v>
      </c>
      <c r="O160" s="4">
        <v>0</v>
      </c>
      <c r="P160" s="4">
        <v>0</v>
      </c>
      <c r="Q160" s="4">
        <v>0</v>
      </c>
      <c r="R160" s="4">
        <v>2.2000000000000002</v>
      </c>
      <c r="S160" s="4">
        <v>1623.5</v>
      </c>
      <c r="T160" s="2" t="s">
        <v>1775</v>
      </c>
      <c r="U160" s="2" t="s">
        <v>479</v>
      </c>
      <c r="V160" s="2" t="s">
        <v>2</v>
      </c>
      <c r="W160" s="2" t="s">
        <v>2</v>
      </c>
    </row>
    <row r="161" spans="1:23" ht="24" customHeight="1" x14ac:dyDescent="0.3">
      <c r="A161" s="2" t="s">
        <v>719</v>
      </c>
      <c r="B161" s="11"/>
      <c r="C161" s="11"/>
      <c r="D161" s="2" t="s">
        <v>1776</v>
      </c>
      <c r="E161" s="2" t="s">
        <v>1777</v>
      </c>
      <c r="F161" s="2" t="s">
        <v>1778</v>
      </c>
      <c r="G161" s="2" t="s">
        <v>2</v>
      </c>
      <c r="H161" s="2" t="s">
        <v>2</v>
      </c>
      <c r="I161" s="2" t="s">
        <v>2</v>
      </c>
      <c r="J161" s="2" t="s">
        <v>28</v>
      </c>
      <c r="K161" s="3">
        <v>0</v>
      </c>
      <c r="L161" s="3">
        <v>0</v>
      </c>
      <c r="M161" s="3">
        <v>0</v>
      </c>
      <c r="N161" s="3">
        <v>4</v>
      </c>
      <c r="O161" s="4">
        <v>0</v>
      </c>
      <c r="P161" s="4">
        <v>0</v>
      </c>
      <c r="Q161" s="4">
        <v>0</v>
      </c>
      <c r="R161" s="4">
        <v>4</v>
      </c>
      <c r="S161" s="4">
        <v>0</v>
      </c>
      <c r="T161" s="2" t="s">
        <v>1779</v>
      </c>
      <c r="U161" s="2" t="s">
        <v>285</v>
      </c>
      <c r="V161" s="2" t="s">
        <v>2</v>
      </c>
      <c r="W161" s="2" t="s">
        <v>2</v>
      </c>
    </row>
    <row r="162" spans="1:23" ht="24" customHeight="1" x14ac:dyDescent="0.3">
      <c r="A162" s="2" t="s">
        <v>720</v>
      </c>
      <c r="B162" s="11"/>
      <c r="C162" s="11"/>
      <c r="D162" s="2" t="s">
        <v>1780</v>
      </c>
      <c r="E162" s="2" t="s">
        <v>1781</v>
      </c>
      <c r="F162" s="2" t="s">
        <v>1782</v>
      </c>
      <c r="G162" s="2" t="s">
        <v>2</v>
      </c>
      <c r="H162" s="2" t="s">
        <v>2</v>
      </c>
      <c r="I162" s="2" t="s">
        <v>2</v>
      </c>
      <c r="J162" s="2" t="s">
        <v>28</v>
      </c>
      <c r="K162" s="3">
        <v>0</v>
      </c>
      <c r="L162" s="3">
        <v>0</v>
      </c>
      <c r="M162" s="3">
        <v>0</v>
      </c>
      <c r="N162" s="3">
        <v>5</v>
      </c>
      <c r="O162" s="4">
        <v>0</v>
      </c>
      <c r="P162" s="4">
        <v>0</v>
      </c>
      <c r="Q162" s="4">
        <v>0</v>
      </c>
      <c r="R162" s="4">
        <v>15.9</v>
      </c>
      <c r="S162" s="4">
        <v>243.8</v>
      </c>
      <c r="T162" s="2" t="s">
        <v>2</v>
      </c>
      <c r="U162" s="2" t="s">
        <v>478</v>
      </c>
      <c r="V162" s="2" t="s">
        <v>2</v>
      </c>
      <c r="W162" s="2" t="s">
        <v>510</v>
      </c>
    </row>
    <row r="163" spans="1:23" ht="24" customHeight="1" x14ac:dyDescent="0.3">
      <c r="A163" s="2" t="s">
        <v>721</v>
      </c>
      <c r="B163" s="11"/>
      <c r="C163" s="11"/>
      <c r="D163" s="2" t="s">
        <v>1783</v>
      </c>
      <c r="E163" s="2" t="s">
        <v>1709</v>
      </c>
      <c r="F163" s="2" t="s">
        <v>1784</v>
      </c>
      <c r="G163" s="2" t="s">
        <v>2</v>
      </c>
      <c r="H163" s="2" t="s">
        <v>2</v>
      </c>
      <c r="I163" s="2" t="s">
        <v>2</v>
      </c>
      <c r="J163" s="2" t="s">
        <v>28</v>
      </c>
      <c r="K163" s="3">
        <v>0</v>
      </c>
      <c r="L163" s="3">
        <v>0</v>
      </c>
      <c r="M163" s="3">
        <v>0</v>
      </c>
      <c r="N163" s="3">
        <v>2</v>
      </c>
      <c r="O163" s="4">
        <v>0</v>
      </c>
      <c r="P163" s="4">
        <v>0</v>
      </c>
      <c r="Q163" s="4">
        <v>0</v>
      </c>
      <c r="R163" s="4">
        <v>7</v>
      </c>
      <c r="S163" s="4">
        <v>152908.20000000001</v>
      </c>
      <c r="T163" s="2" t="s">
        <v>1711</v>
      </c>
      <c r="U163" s="2" t="s">
        <v>958</v>
      </c>
      <c r="V163" s="2" t="s">
        <v>2</v>
      </c>
      <c r="W163" s="2" t="s">
        <v>2</v>
      </c>
    </row>
    <row r="164" spans="1:23" ht="24" customHeight="1" x14ac:dyDescent="0.3">
      <c r="A164" s="2" t="s">
        <v>723</v>
      </c>
      <c r="B164" s="11"/>
      <c r="C164" s="11"/>
      <c r="D164" s="2" t="s">
        <v>1785</v>
      </c>
      <c r="E164" s="2" t="s">
        <v>1786</v>
      </c>
      <c r="F164" s="2" t="s">
        <v>1787</v>
      </c>
      <c r="G164" s="2" t="s">
        <v>2</v>
      </c>
      <c r="H164" s="2" t="s">
        <v>2</v>
      </c>
      <c r="I164" s="2" t="s">
        <v>2</v>
      </c>
      <c r="J164" s="2" t="s">
        <v>28</v>
      </c>
      <c r="K164" s="3">
        <v>0</v>
      </c>
      <c r="L164" s="3">
        <v>0</v>
      </c>
      <c r="M164" s="3">
        <v>0</v>
      </c>
      <c r="N164" s="3">
        <v>8</v>
      </c>
      <c r="O164" s="4">
        <v>0</v>
      </c>
      <c r="P164" s="4">
        <v>0</v>
      </c>
      <c r="Q164" s="4">
        <v>0</v>
      </c>
      <c r="R164" s="4">
        <v>12.9</v>
      </c>
      <c r="S164" s="4">
        <v>37.1</v>
      </c>
      <c r="T164" s="2" t="s">
        <v>2</v>
      </c>
      <c r="U164" s="2" t="s">
        <v>1081</v>
      </c>
      <c r="V164" s="2" t="s">
        <v>2</v>
      </c>
      <c r="W164" s="2" t="s">
        <v>510</v>
      </c>
    </row>
    <row r="165" spans="1:23" ht="24" customHeight="1" x14ac:dyDescent="0.3">
      <c r="A165" s="2" t="s">
        <v>725</v>
      </c>
      <c r="B165" s="11"/>
      <c r="C165" s="11"/>
      <c r="D165" s="2" t="s">
        <v>1788</v>
      </c>
      <c r="E165" s="2" t="s">
        <v>1789</v>
      </c>
      <c r="F165" s="2" t="s">
        <v>1790</v>
      </c>
      <c r="G165" s="2" t="s">
        <v>2</v>
      </c>
      <c r="H165" s="2" t="s">
        <v>2</v>
      </c>
      <c r="I165" s="2" t="s">
        <v>27</v>
      </c>
      <c r="J165" s="2" t="s">
        <v>2</v>
      </c>
      <c r="K165" s="3">
        <v>0</v>
      </c>
      <c r="L165" s="3">
        <v>0</v>
      </c>
      <c r="M165" s="3">
        <v>3</v>
      </c>
      <c r="N165" s="3">
        <v>0</v>
      </c>
      <c r="O165" s="4">
        <v>0</v>
      </c>
      <c r="P165" s="4">
        <v>0</v>
      </c>
      <c r="Q165" s="4">
        <v>8</v>
      </c>
      <c r="R165" s="4">
        <v>0</v>
      </c>
      <c r="S165" s="4">
        <v>0</v>
      </c>
      <c r="T165" s="2" t="s">
        <v>1791</v>
      </c>
      <c r="U165" s="2" t="s">
        <v>800</v>
      </c>
      <c r="V165" s="2" t="s">
        <v>2</v>
      </c>
      <c r="W165" s="2" t="s">
        <v>2</v>
      </c>
    </row>
    <row r="166" spans="1:23" ht="24" customHeight="1" x14ac:dyDescent="0.3">
      <c r="A166" s="2" t="s">
        <v>727</v>
      </c>
      <c r="B166" s="11"/>
      <c r="C166" s="11"/>
      <c r="D166" s="2" t="s">
        <v>1792</v>
      </c>
      <c r="E166" s="2" t="s">
        <v>1793</v>
      </c>
      <c r="F166" s="2" t="s">
        <v>1790</v>
      </c>
      <c r="G166" s="2" t="s">
        <v>2</v>
      </c>
      <c r="H166" s="2" t="s">
        <v>2</v>
      </c>
      <c r="I166" s="2" t="s">
        <v>27</v>
      </c>
      <c r="J166" s="2" t="s">
        <v>2</v>
      </c>
      <c r="K166" s="3">
        <v>0</v>
      </c>
      <c r="L166" s="3">
        <v>0</v>
      </c>
      <c r="M166" s="3">
        <v>10</v>
      </c>
      <c r="N166" s="3">
        <v>0</v>
      </c>
      <c r="O166" s="4">
        <v>0</v>
      </c>
      <c r="P166" s="4">
        <v>0</v>
      </c>
      <c r="Q166" s="4">
        <v>45</v>
      </c>
      <c r="R166" s="4">
        <v>0</v>
      </c>
      <c r="S166" s="4">
        <v>7939.9</v>
      </c>
      <c r="T166" s="2" t="s">
        <v>1794</v>
      </c>
      <c r="U166" s="2" t="s">
        <v>1795</v>
      </c>
      <c r="V166" s="2" t="s">
        <v>2</v>
      </c>
      <c r="W166" s="2" t="s">
        <v>2</v>
      </c>
    </row>
    <row r="167" spans="1:23" ht="24" customHeight="1" x14ac:dyDescent="0.3">
      <c r="A167" s="2" t="s">
        <v>728</v>
      </c>
      <c r="B167" s="11"/>
      <c r="C167" s="11"/>
      <c r="D167" s="2" t="s">
        <v>1796</v>
      </c>
      <c r="E167" s="2" t="s">
        <v>1797</v>
      </c>
      <c r="F167" s="2" t="s">
        <v>1798</v>
      </c>
      <c r="G167" s="2" t="s">
        <v>26</v>
      </c>
      <c r="H167" s="2" t="s">
        <v>26</v>
      </c>
      <c r="I167" s="2" t="s">
        <v>2</v>
      </c>
      <c r="J167" s="2" t="s">
        <v>2</v>
      </c>
      <c r="K167" s="3">
        <v>6</v>
      </c>
      <c r="L167" s="3">
        <v>1</v>
      </c>
      <c r="M167" s="3">
        <v>0</v>
      </c>
      <c r="N167" s="3">
        <v>0</v>
      </c>
      <c r="O167" s="4">
        <v>37</v>
      </c>
      <c r="P167" s="4">
        <v>6</v>
      </c>
      <c r="Q167" s="4">
        <v>0</v>
      </c>
      <c r="R167" s="4">
        <v>0</v>
      </c>
      <c r="S167" s="4">
        <v>11787.1</v>
      </c>
      <c r="T167" s="2" t="s">
        <v>1799</v>
      </c>
      <c r="U167" s="2" t="s">
        <v>103</v>
      </c>
      <c r="V167" s="2" t="s">
        <v>2</v>
      </c>
      <c r="W167" s="2" t="s">
        <v>2</v>
      </c>
    </row>
    <row r="168" spans="1:23" ht="24" customHeight="1" x14ac:dyDescent="0.3">
      <c r="A168" s="2" t="s">
        <v>729</v>
      </c>
      <c r="B168" s="11"/>
      <c r="C168" s="11"/>
      <c r="D168" s="2" t="s">
        <v>1800</v>
      </c>
      <c r="E168" s="2" t="s">
        <v>1801</v>
      </c>
      <c r="F168" s="2" t="s">
        <v>1802</v>
      </c>
      <c r="G168" s="2" t="s">
        <v>26</v>
      </c>
      <c r="H168" s="2" t="s">
        <v>26</v>
      </c>
      <c r="I168" s="2" t="s">
        <v>2</v>
      </c>
      <c r="J168" s="2" t="s">
        <v>2</v>
      </c>
      <c r="K168" s="3">
        <v>12</v>
      </c>
      <c r="L168" s="3">
        <v>5</v>
      </c>
      <c r="M168" s="3">
        <v>0</v>
      </c>
      <c r="N168" s="3">
        <v>0</v>
      </c>
      <c r="O168" s="4">
        <v>72</v>
      </c>
      <c r="P168" s="4">
        <v>30</v>
      </c>
      <c r="Q168" s="4">
        <v>0</v>
      </c>
      <c r="R168" s="4">
        <v>0</v>
      </c>
      <c r="S168" s="4">
        <v>13633.9</v>
      </c>
      <c r="T168" s="2" t="s">
        <v>1803</v>
      </c>
      <c r="U168" s="2" t="s">
        <v>1698</v>
      </c>
      <c r="V168" s="2" t="s">
        <v>2</v>
      </c>
      <c r="W168" s="2" t="s">
        <v>2</v>
      </c>
    </row>
    <row r="169" spans="1:23" ht="24" customHeight="1" x14ac:dyDescent="0.3">
      <c r="A169" s="2" t="s">
        <v>730</v>
      </c>
      <c r="B169" s="11"/>
      <c r="C169" s="11"/>
      <c r="D169" s="2" t="s">
        <v>1804</v>
      </c>
      <c r="E169" s="2" t="s">
        <v>1805</v>
      </c>
      <c r="F169" s="2" t="s">
        <v>1806</v>
      </c>
      <c r="G169" s="2" t="s">
        <v>2</v>
      </c>
      <c r="H169" s="2" t="s">
        <v>2</v>
      </c>
      <c r="I169" s="2" t="s">
        <v>2</v>
      </c>
      <c r="J169" s="2" t="s">
        <v>28</v>
      </c>
      <c r="K169" s="3">
        <v>0</v>
      </c>
      <c r="L169" s="3">
        <v>0</v>
      </c>
      <c r="M169" s="3">
        <v>0</v>
      </c>
      <c r="N169" s="3">
        <v>2</v>
      </c>
      <c r="O169" s="4">
        <v>0</v>
      </c>
      <c r="P169" s="4">
        <v>0</v>
      </c>
      <c r="Q169" s="4">
        <v>0</v>
      </c>
      <c r="R169" s="4">
        <v>44.5</v>
      </c>
      <c r="S169" s="4">
        <v>7498.8</v>
      </c>
      <c r="T169" s="2" t="s">
        <v>2</v>
      </c>
      <c r="U169" s="2" t="s">
        <v>1807</v>
      </c>
      <c r="V169" s="2" t="s">
        <v>2</v>
      </c>
      <c r="W169" s="2" t="s">
        <v>2</v>
      </c>
    </row>
    <row r="170" spans="1:23" ht="24" customHeight="1" x14ac:dyDescent="0.3">
      <c r="A170" s="2" t="s">
        <v>731</v>
      </c>
      <c r="B170" s="11"/>
      <c r="C170" s="11"/>
      <c r="D170" s="2" t="s">
        <v>1808</v>
      </c>
      <c r="E170" s="2" t="s">
        <v>1809</v>
      </c>
      <c r="F170" s="2" t="s">
        <v>1810</v>
      </c>
      <c r="G170" s="2" t="s">
        <v>2</v>
      </c>
      <c r="H170" s="2" t="s">
        <v>2</v>
      </c>
      <c r="I170" s="2" t="s">
        <v>27</v>
      </c>
      <c r="J170" s="2" t="s">
        <v>2</v>
      </c>
      <c r="K170" s="3">
        <v>0</v>
      </c>
      <c r="L170" s="3">
        <v>0</v>
      </c>
      <c r="M170" s="3">
        <v>6</v>
      </c>
      <c r="N170" s="3">
        <v>0</v>
      </c>
      <c r="O170" s="4">
        <v>0</v>
      </c>
      <c r="P170" s="4">
        <v>0</v>
      </c>
      <c r="Q170" s="4">
        <v>120</v>
      </c>
      <c r="R170" s="4">
        <v>0</v>
      </c>
      <c r="S170" s="4">
        <v>4060.8</v>
      </c>
      <c r="T170" s="2" t="s">
        <v>1811</v>
      </c>
      <c r="U170" s="2" t="s">
        <v>1812</v>
      </c>
      <c r="V170" s="2" t="s">
        <v>2</v>
      </c>
      <c r="W170" s="2" t="s">
        <v>2</v>
      </c>
    </row>
    <row r="171" spans="1:23" ht="24" customHeight="1" x14ac:dyDescent="0.3">
      <c r="A171" s="2" t="s">
        <v>731</v>
      </c>
      <c r="B171" s="11"/>
      <c r="C171" s="11"/>
      <c r="D171" s="2" t="s">
        <v>1808</v>
      </c>
      <c r="E171" s="2" t="s">
        <v>1809</v>
      </c>
      <c r="F171" s="2" t="s">
        <v>1810</v>
      </c>
      <c r="G171" s="2" t="s">
        <v>2</v>
      </c>
      <c r="H171" s="2" t="s">
        <v>2</v>
      </c>
      <c r="I171" s="2" t="s">
        <v>2</v>
      </c>
      <c r="J171" s="2" t="s">
        <v>28</v>
      </c>
      <c r="K171" s="3">
        <v>0</v>
      </c>
      <c r="L171" s="3">
        <v>0</v>
      </c>
      <c r="M171" s="3">
        <v>0</v>
      </c>
      <c r="N171" s="3">
        <v>14</v>
      </c>
      <c r="O171" s="4">
        <v>0</v>
      </c>
      <c r="P171" s="4">
        <v>0</v>
      </c>
      <c r="Q171" s="4">
        <v>0</v>
      </c>
      <c r="R171" s="4">
        <v>280</v>
      </c>
      <c r="S171" s="4">
        <v>4060.8</v>
      </c>
      <c r="T171" s="2" t="s">
        <v>1811</v>
      </c>
      <c r="U171" s="2" t="s">
        <v>1092</v>
      </c>
      <c r="V171" s="2" t="s">
        <v>2</v>
      </c>
      <c r="W171" s="2" t="s">
        <v>2</v>
      </c>
    </row>
    <row r="172" spans="1:23" ht="24" customHeight="1" x14ac:dyDescent="0.3">
      <c r="A172" s="2" t="s">
        <v>733</v>
      </c>
      <c r="B172" s="11"/>
      <c r="C172" s="11"/>
      <c r="D172" s="2" t="s">
        <v>1813</v>
      </c>
      <c r="E172" s="2" t="s">
        <v>1814</v>
      </c>
      <c r="F172" s="2" t="s">
        <v>1815</v>
      </c>
      <c r="G172" s="2" t="s">
        <v>2</v>
      </c>
      <c r="H172" s="2" t="s">
        <v>2</v>
      </c>
      <c r="I172" s="2" t="s">
        <v>27</v>
      </c>
      <c r="J172" s="2" t="s">
        <v>2</v>
      </c>
      <c r="K172" s="3">
        <v>0</v>
      </c>
      <c r="L172" s="3">
        <v>0</v>
      </c>
      <c r="M172" s="3">
        <v>5</v>
      </c>
      <c r="N172" s="3">
        <v>0</v>
      </c>
      <c r="O172" s="4">
        <v>0</v>
      </c>
      <c r="P172" s="4">
        <v>0</v>
      </c>
      <c r="Q172" s="4">
        <v>12</v>
      </c>
      <c r="R172" s="4">
        <v>0</v>
      </c>
      <c r="S172" s="4">
        <v>12215.8</v>
      </c>
      <c r="T172" s="2" t="s">
        <v>1816</v>
      </c>
      <c r="U172" s="2" t="s">
        <v>1817</v>
      </c>
      <c r="V172" s="2" t="s">
        <v>2</v>
      </c>
      <c r="W172" s="2" t="s">
        <v>2</v>
      </c>
    </row>
    <row r="173" spans="1:23" ht="24" customHeight="1" x14ac:dyDescent="0.3">
      <c r="A173" s="2" t="s">
        <v>734</v>
      </c>
      <c r="B173" s="11"/>
      <c r="C173" s="11"/>
      <c r="D173" s="2" t="s">
        <v>1818</v>
      </c>
      <c r="E173" s="2" t="s">
        <v>1819</v>
      </c>
      <c r="F173" s="2" t="s">
        <v>1820</v>
      </c>
      <c r="G173" s="2" t="s">
        <v>2</v>
      </c>
      <c r="H173" s="2" t="s">
        <v>2</v>
      </c>
      <c r="I173" s="2" t="s">
        <v>2</v>
      </c>
      <c r="J173" s="2" t="s">
        <v>28</v>
      </c>
      <c r="K173" s="3">
        <v>0</v>
      </c>
      <c r="L173" s="3">
        <v>0</v>
      </c>
      <c r="M173" s="3">
        <v>0</v>
      </c>
      <c r="N173" s="3">
        <v>2</v>
      </c>
      <c r="O173" s="4">
        <v>0</v>
      </c>
      <c r="P173" s="4">
        <v>0</v>
      </c>
      <c r="Q173" s="4">
        <v>0</v>
      </c>
      <c r="R173" s="4">
        <v>3</v>
      </c>
      <c r="S173" s="4">
        <v>46.5</v>
      </c>
      <c r="T173" s="2" t="s">
        <v>1821</v>
      </c>
      <c r="U173" s="2" t="s">
        <v>1822</v>
      </c>
      <c r="V173" s="2" t="s">
        <v>2</v>
      </c>
      <c r="W173" s="2" t="s">
        <v>2</v>
      </c>
    </row>
    <row r="174" spans="1:23" ht="24" customHeight="1" x14ac:dyDescent="0.3">
      <c r="A174" s="2" t="s">
        <v>735</v>
      </c>
      <c r="B174" s="11"/>
      <c r="C174" s="11"/>
      <c r="D174" s="2" t="s">
        <v>1823</v>
      </c>
      <c r="E174" s="2" t="s">
        <v>1824</v>
      </c>
      <c r="F174" s="2" t="s">
        <v>1825</v>
      </c>
      <c r="G174" s="2" t="s">
        <v>2</v>
      </c>
      <c r="H174" s="2" t="s">
        <v>2</v>
      </c>
      <c r="I174" s="2" t="s">
        <v>2</v>
      </c>
      <c r="J174" s="2" t="s">
        <v>28</v>
      </c>
      <c r="K174" s="3">
        <v>0</v>
      </c>
      <c r="L174" s="3">
        <v>0</v>
      </c>
      <c r="M174" s="3">
        <v>0</v>
      </c>
      <c r="N174" s="3">
        <v>6</v>
      </c>
      <c r="O174" s="4">
        <v>0</v>
      </c>
      <c r="P174" s="4">
        <v>0</v>
      </c>
      <c r="Q174" s="4">
        <v>0</v>
      </c>
      <c r="R174" s="4">
        <v>8</v>
      </c>
      <c r="S174" s="4">
        <v>1700.5</v>
      </c>
      <c r="T174" s="2" t="s">
        <v>1826</v>
      </c>
      <c r="U174" s="2" t="s">
        <v>1827</v>
      </c>
      <c r="V174" s="2" t="s">
        <v>2</v>
      </c>
      <c r="W174" s="2" t="s">
        <v>2</v>
      </c>
    </row>
    <row r="175" spans="1:23" ht="24" customHeight="1" x14ac:dyDescent="0.3">
      <c r="A175" s="2" t="s">
        <v>736</v>
      </c>
      <c r="B175" s="11"/>
      <c r="C175" s="11"/>
      <c r="D175" s="2" t="s">
        <v>1828</v>
      </c>
      <c r="E175" s="2" t="s">
        <v>1829</v>
      </c>
      <c r="F175" s="2" t="s">
        <v>1830</v>
      </c>
      <c r="G175" s="2" t="s">
        <v>2</v>
      </c>
      <c r="H175" s="2" t="s">
        <v>2</v>
      </c>
      <c r="I175" s="2" t="s">
        <v>2</v>
      </c>
      <c r="J175" s="2" t="s">
        <v>28</v>
      </c>
      <c r="K175" s="3">
        <v>0</v>
      </c>
      <c r="L175" s="3">
        <v>0</v>
      </c>
      <c r="M175" s="3">
        <v>0</v>
      </c>
      <c r="N175" s="3">
        <v>2</v>
      </c>
      <c r="O175" s="4">
        <v>0</v>
      </c>
      <c r="P175" s="4">
        <v>0</v>
      </c>
      <c r="Q175" s="4">
        <v>0</v>
      </c>
      <c r="R175" s="4">
        <v>3.5</v>
      </c>
      <c r="S175" s="4">
        <v>0.1</v>
      </c>
      <c r="T175" s="2" t="s">
        <v>1831</v>
      </c>
      <c r="U175" s="2" t="s">
        <v>1832</v>
      </c>
      <c r="V175" s="2" t="s">
        <v>2</v>
      </c>
      <c r="W175" s="2" t="s">
        <v>2</v>
      </c>
    </row>
    <row r="176" spans="1:23" ht="24" customHeight="1" x14ac:dyDescent="0.3">
      <c r="A176" s="2" t="s">
        <v>737</v>
      </c>
      <c r="B176" s="11"/>
      <c r="C176" s="11"/>
      <c r="D176" s="2" t="s">
        <v>1833</v>
      </c>
      <c r="E176" s="2" t="s">
        <v>1834</v>
      </c>
      <c r="F176" s="2" t="s">
        <v>1835</v>
      </c>
      <c r="G176" s="2" t="s">
        <v>2</v>
      </c>
      <c r="H176" s="2" t="s">
        <v>2</v>
      </c>
      <c r="I176" s="2" t="s">
        <v>2</v>
      </c>
      <c r="J176" s="2" t="s">
        <v>28</v>
      </c>
      <c r="K176" s="3">
        <v>0</v>
      </c>
      <c r="L176" s="3">
        <v>0</v>
      </c>
      <c r="M176" s="3">
        <v>0</v>
      </c>
      <c r="N176" s="3">
        <v>4</v>
      </c>
      <c r="O176" s="4">
        <v>0</v>
      </c>
      <c r="P176" s="4">
        <v>0</v>
      </c>
      <c r="Q176" s="4">
        <v>0</v>
      </c>
      <c r="R176" s="4">
        <v>60</v>
      </c>
      <c r="S176" s="4">
        <v>32523.8</v>
      </c>
      <c r="T176" s="2" t="s">
        <v>1638</v>
      </c>
      <c r="U176" s="2" t="s">
        <v>1836</v>
      </c>
      <c r="V176" s="2" t="s">
        <v>2</v>
      </c>
      <c r="W176" s="2" t="s">
        <v>2</v>
      </c>
    </row>
    <row r="177" spans="1:23" ht="24" customHeight="1" x14ac:dyDescent="0.3">
      <c r="A177" s="2" t="s">
        <v>738</v>
      </c>
      <c r="B177" s="11"/>
      <c r="C177" s="11"/>
      <c r="D177" s="2" t="s">
        <v>1837</v>
      </c>
      <c r="E177" s="2" t="s">
        <v>1838</v>
      </c>
      <c r="F177" s="2" t="s">
        <v>1839</v>
      </c>
      <c r="G177" s="2" t="s">
        <v>2</v>
      </c>
      <c r="H177" s="2" t="s">
        <v>2</v>
      </c>
      <c r="I177" s="2" t="s">
        <v>27</v>
      </c>
      <c r="J177" s="2" t="s">
        <v>2</v>
      </c>
      <c r="K177" s="3">
        <v>0</v>
      </c>
      <c r="L177" s="3">
        <v>0</v>
      </c>
      <c r="M177" s="3">
        <v>2</v>
      </c>
      <c r="N177" s="3">
        <v>0</v>
      </c>
      <c r="O177" s="4">
        <v>0</v>
      </c>
      <c r="P177" s="4">
        <v>0</v>
      </c>
      <c r="Q177" s="4">
        <v>5</v>
      </c>
      <c r="R177" s="4">
        <v>0</v>
      </c>
      <c r="S177" s="4">
        <v>0</v>
      </c>
      <c r="T177" s="2" t="s">
        <v>2</v>
      </c>
      <c r="U177" s="2" t="s">
        <v>1840</v>
      </c>
      <c r="V177" s="2" t="s">
        <v>2</v>
      </c>
      <c r="W177" s="2" t="s">
        <v>2</v>
      </c>
    </row>
    <row r="178" spans="1:23" ht="24" customHeight="1" x14ac:dyDescent="0.3">
      <c r="A178" s="2" t="s">
        <v>739</v>
      </c>
      <c r="B178" s="11"/>
      <c r="C178" s="11"/>
      <c r="D178" s="2" t="s">
        <v>1841</v>
      </c>
      <c r="E178" s="2" t="s">
        <v>1842</v>
      </c>
      <c r="F178" s="2" t="s">
        <v>1843</v>
      </c>
      <c r="G178" s="2" t="s">
        <v>2</v>
      </c>
      <c r="H178" s="2" t="s">
        <v>2</v>
      </c>
      <c r="I178" s="2" t="s">
        <v>2</v>
      </c>
      <c r="J178" s="2" t="s">
        <v>28</v>
      </c>
      <c r="K178" s="3">
        <v>0</v>
      </c>
      <c r="L178" s="3">
        <v>0</v>
      </c>
      <c r="M178" s="3">
        <v>0</v>
      </c>
      <c r="N178" s="3">
        <v>3</v>
      </c>
      <c r="O178" s="4">
        <v>0</v>
      </c>
      <c r="P178" s="4">
        <v>0</v>
      </c>
      <c r="Q178" s="4">
        <v>0</v>
      </c>
      <c r="R178" s="4">
        <v>23.6</v>
      </c>
      <c r="S178" s="4">
        <v>12742.2</v>
      </c>
      <c r="T178" s="2" t="s">
        <v>1844</v>
      </c>
      <c r="U178" s="2" t="s">
        <v>1845</v>
      </c>
      <c r="V178" s="2" t="s">
        <v>2</v>
      </c>
      <c r="W178" s="2" t="s">
        <v>2</v>
      </c>
    </row>
    <row r="179" spans="1:23" ht="24" customHeight="1" x14ac:dyDescent="0.3">
      <c r="A179" s="2" t="s">
        <v>740</v>
      </c>
      <c r="B179" s="11"/>
      <c r="C179" s="11"/>
      <c r="D179" s="2" t="s">
        <v>1846</v>
      </c>
      <c r="E179" s="2" t="s">
        <v>1847</v>
      </c>
      <c r="F179" s="2" t="s">
        <v>1848</v>
      </c>
      <c r="G179" s="2" t="s">
        <v>2</v>
      </c>
      <c r="H179" s="2" t="s">
        <v>2</v>
      </c>
      <c r="I179" s="2" t="s">
        <v>2</v>
      </c>
      <c r="J179" s="2" t="s">
        <v>28</v>
      </c>
      <c r="K179" s="3">
        <v>0</v>
      </c>
      <c r="L179" s="3">
        <v>0</v>
      </c>
      <c r="M179" s="3">
        <v>0</v>
      </c>
      <c r="N179" s="3">
        <v>2</v>
      </c>
      <c r="O179" s="4">
        <v>0</v>
      </c>
      <c r="P179" s="4">
        <v>0</v>
      </c>
      <c r="Q179" s="4">
        <v>0</v>
      </c>
      <c r="R179" s="4">
        <v>2.2000000000000002</v>
      </c>
      <c r="S179" s="4">
        <v>612.79999999999995</v>
      </c>
      <c r="T179" s="2" t="s">
        <v>1849</v>
      </c>
      <c r="U179" s="2" t="s">
        <v>1292</v>
      </c>
      <c r="V179" s="2" t="s">
        <v>2</v>
      </c>
      <c r="W179" s="2" t="s">
        <v>2</v>
      </c>
    </row>
    <row r="180" spans="1:23" ht="24" customHeight="1" x14ac:dyDescent="0.3">
      <c r="A180" s="2" t="s">
        <v>377</v>
      </c>
      <c r="B180" s="11"/>
      <c r="C180" s="11"/>
      <c r="D180" s="2" t="s">
        <v>1850</v>
      </c>
      <c r="E180" s="2" t="s">
        <v>1851</v>
      </c>
      <c r="F180" s="2" t="s">
        <v>1852</v>
      </c>
      <c r="G180" s="2" t="s">
        <v>2</v>
      </c>
      <c r="H180" s="2" t="s">
        <v>2</v>
      </c>
      <c r="I180" s="2" t="s">
        <v>2</v>
      </c>
      <c r="J180" s="2" t="s">
        <v>28</v>
      </c>
      <c r="K180" s="3">
        <v>0</v>
      </c>
      <c r="L180" s="3">
        <v>0</v>
      </c>
      <c r="M180" s="3">
        <v>0</v>
      </c>
      <c r="N180" s="3">
        <v>2</v>
      </c>
      <c r="O180" s="4">
        <v>0</v>
      </c>
      <c r="P180" s="4">
        <v>0</v>
      </c>
      <c r="Q180" s="4">
        <v>0</v>
      </c>
      <c r="R180" s="4">
        <v>7.3</v>
      </c>
      <c r="S180" s="4">
        <v>588.5</v>
      </c>
      <c r="T180" s="2" t="s">
        <v>1853</v>
      </c>
      <c r="U180" s="2" t="s">
        <v>1088</v>
      </c>
      <c r="V180" s="2" t="s">
        <v>2</v>
      </c>
      <c r="W180" s="2" t="s">
        <v>2</v>
      </c>
    </row>
    <row r="181" spans="1:23" ht="24" customHeight="1" x14ac:dyDescent="0.3">
      <c r="A181" s="2" t="s">
        <v>743</v>
      </c>
      <c r="B181" s="11"/>
      <c r="C181" s="11"/>
      <c r="D181" s="2" t="s">
        <v>1854</v>
      </c>
      <c r="E181" s="2" t="s">
        <v>1855</v>
      </c>
      <c r="F181" s="2" t="s">
        <v>1856</v>
      </c>
      <c r="G181" s="2" t="s">
        <v>2</v>
      </c>
      <c r="H181" s="2" t="s">
        <v>2</v>
      </c>
      <c r="I181" s="2" t="s">
        <v>2</v>
      </c>
      <c r="J181" s="2" t="s">
        <v>28</v>
      </c>
      <c r="K181" s="3">
        <v>0</v>
      </c>
      <c r="L181" s="3">
        <v>0</v>
      </c>
      <c r="M181" s="3">
        <v>0</v>
      </c>
      <c r="N181" s="3">
        <v>2</v>
      </c>
      <c r="O181" s="4">
        <v>0</v>
      </c>
      <c r="P181" s="4">
        <v>0</v>
      </c>
      <c r="Q181" s="4">
        <v>0</v>
      </c>
      <c r="R181" s="4">
        <v>3</v>
      </c>
      <c r="S181" s="4">
        <v>0</v>
      </c>
      <c r="T181" s="2" t="s">
        <v>2</v>
      </c>
      <c r="U181" s="2" t="s">
        <v>1857</v>
      </c>
      <c r="V181" s="2" t="s">
        <v>2</v>
      </c>
      <c r="W181" s="2" t="s">
        <v>1858</v>
      </c>
    </row>
    <row r="182" spans="1:23" ht="24" customHeight="1" x14ac:dyDescent="0.3">
      <c r="A182" s="2" t="s">
        <v>744</v>
      </c>
      <c r="B182" s="11"/>
      <c r="C182" s="11"/>
      <c r="D182" s="2" t="s">
        <v>1859</v>
      </c>
      <c r="E182" s="2" t="s">
        <v>1860</v>
      </c>
      <c r="F182" s="2" t="s">
        <v>1861</v>
      </c>
      <c r="G182" s="2" t="s">
        <v>2</v>
      </c>
      <c r="H182" s="2" t="s">
        <v>2</v>
      </c>
      <c r="I182" s="2" t="s">
        <v>27</v>
      </c>
      <c r="J182" s="2" t="s">
        <v>2</v>
      </c>
      <c r="K182" s="3">
        <v>0</v>
      </c>
      <c r="L182" s="3">
        <v>0</v>
      </c>
      <c r="M182" s="3">
        <v>4</v>
      </c>
      <c r="N182" s="3">
        <v>0</v>
      </c>
      <c r="O182" s="4">
        <v>0</v>
      </c>
      <c r="P182" s="4">
        <v>0</v>
      </c>
      <c r="Q182" s="4">
        <v>8</v>
      </c>
      <c r="R182" s="4">
        <v>0</v>
      </c>
      <c r="S182" s="4">
        <v>0</v>
      </c>
      <c r="T182" s="2" t="s">
        <v>1862</v>
      </c>
      <c r="U182" s="2" t="s">
        <v>638</v>
      </c>
      <c r="V182" s="2" t="s">
        <v>2</v>
      </c>
      <c r="W182" s="2" t="s">
        <v>2</v>
      </c>
    </row>
    <row r="183" spans="1:23" ht="24" customHeight="1" x14ac:dyDescent="0.3">
      <c r="A183" s="2" t="s">
        <v>746</v>
      </c>
      <c r="B183" s="11"/>
      <c r="C183" s="11"/>
      <c r="D183" s="2" t="s">
        <v>1863</v>
      </c>
      <c r="E183" s="2" t="s">
        <v>1864</v>
      </c>
      <c r="F183" s="2" t="s">
        <v>1865</v>
      </c>
      <c r="G183" s="2" t="s">
        <v>2</v>
      </c>
      <c r="H183" s="2" t="s">
        <v>2</v>
      </c>
      <c r="I183" s="2" t="s">
        <v>2</v>
      </c>
      <c r="J183" s="2" t="s">
        <v>28</v>
      </c>
      <c r="K183" s="3">
        <v>0</v>
      </c>
      <c r="L183" s="3">
        <v>0</v>
      </c>
      <c r="M183" s="3">
        <v>0</v>
      </c>
      <c r="N183" s="3">
        <v>3</v>
      </c>
      <c r="O183" s="4">
        <v>0</v>
      </c>
      <c r="P183" s="4">
        <v>0</v>
      </c>
      <c r="Q183" s="4">
        <v>0</v>
      </c>
      <c r="R183" s="4">
        <v>5</v>
      </c>
      <c r="S183" s="4">
        <v>0</v>
      </c>
      <c r="T183" s="2" t="s">
        <v>1866</v>
      </c>
      <c r="U183" s="2" t="s">
        <v>1625</v>
      </c>
      <c r="V183" s="2" t="s">
        <v>2</v>
      </c>
      <c r="W183" s="2" t="s">
        <v>1867</v>
      </c>
    </row>
    <row r="184" spans="1:23" ht="24" customHeight="1" x14ac:dyDescent="0.3">
      <c r="A184" s="2" t="s">
        <v>747</v>
      </c>
      <c r="B184" s="11"/>
      <c r="C184" s="11"/>
      <c r="D184" s="2" t="s">
        <v>1868</v>
      </c>
      <c r="E184" s="2" t="s">
        <v>1869</v>
      </c>
      <c r="F184" s="2" t="s">
        <v>1870</v>
      </c>
      <c r="G184" s="2" t="s">
        <v>2</v>
      </c>
      <c r="H184" s="2" t="s">
        <v>2</v>
      </c>
      <c r="I184" s="2" t="s">
        <v>2</v>
      </c>
      <c r="J184" s="2" t="s">
        <v>28</v>
      </c>
      <c r="K184" s="3">
        <v>0</v>
      </c>
      <c r="L184" s="3">
        <v>0</v>
      </c>
      <c r="M184" s="3">
        <v>0</v>
      </c>
      <c r="N184" s="3">
        <v>2</v>
      </c>
      <c r="O184" s="4">
        <v>0</v>
      </c>
      <c r="P184" s="4">
        <v>0</v>
      </c>
      <c r="Q184" s="4">
        <v>0</v>
      </c>
      <c r="R184" s="4">
        <v>26</v>
      </c>
      <c r="S184" s="4">
        <v>2462.6</v>
      </c>
      <c r="T184" s="2" t="s">
        <v>1871</v>
      </c>
      <c r="U184" s="2" t="s">
        <v>1872</v>
      </c>
      <c r="V184" s="2" t="s">
        <v>2</v>
      </c>
      <c r="W184" s="2" t="s">
        <v>2</v>
      </c>
    </row>
    <row r="185" spans="1:23" ht="24" customHeight="1" x14ac:dyDescent="0.3">
      <c r="A185" s="2" t="s">
        <v>748</v>
      </c>
      <c r="B185" s="11"/>
      <c r="C185" s="11"/>
      <c r="D185" s="2" t="s">
        <v>1873</v>
      </c>
      <c r="E185" s="2" t="s">
        <v>1874</v>
      </c>
      <c r="F185" s="2" t="s">
        <v>1875</v>
      </c>
      <c r="G185" s="2" t="s">
        <v>2</v>
      </c>
      <c r="H185" s="2" t="s">
        <v>2</v>
      </c>
      <c r="I185" s="2" t="s">
        <v>2</v>
      </c>
      <c r="J185" s="2" t="s">
        <v>28</v>
      </c>
      <c r="K185" s="3">
        <v>0</v>
      </c>
      <c r="L185" s="3">
        <v>0</v>
      </c>
      <c r="M185" s="3">
        <v>0</v>
      </c>
      <c r="N185" s="3">
        <v>9</v>
      </c>
      <c r="O185" s="4">
        <v>0</v>
      </c>
      <c r="P185" s="4">
        <v>0</v>
      </c>
      <c r="Q185" s="4">
        <v>0</v>
      </c>
      <c r="R185" s="4">
        <v>178.5</v>
      </c>
      <c r="S185" s="4">
        <v>87924.4</v>
      </c>
      <c r="T185" s="2" t="s">
        <v>2</v>
      </c>
      <c r="U185" s="2" t="s">
        <v>1876</v>
      </c>
      <c r="V185" s="2" t="s">
        <v>2</v>
      </c>
      <c r="W185" s="2" t="s">
        <v>2</v>
      </c>
    </row>
    <row r="186" spans="1:23" ht="24" customHeight="1" x14ac:dyDescent="0.3">
      <c r="A186" s="2" t="s">
        <v>749</v>
      </c>
      <c r="B186" s="11"/>
      <c r="C186" s="11"/>
      <c r="D186" s="2" t="s">
        <v>1877</v>
      </c>
      <c r="E186" s="2" t="s">
        <v>1878</v>
      </c>
      <c r="F186" s="2" t="s">
        <v>1879</v>
      </c>
      <c r="G186" s="2" t="s">
        <v>2</v>
      </c>
      <c r="H186" s="2" t="s">
        <v>2</v>
      </c>
      <c r="I186" s="2" t="s">
        <v>27</v>
      </c>
      <c r="J186" s="2" t="s">
        <v>2</v>
      </c>
      <c r="K186" s="3">
        <v>0</v>
      </c>
      <c r="L186" s="3">
        <v>0</v>
      </c>
      <c r="M186" s="3">
        <v>0</v>
      </c>
      <c r="N186" s="3">
        <v>1</v>
      </c>
      <c r="O186" s="4">
        <v>0</v>
      </c>
      <c r="P186" s="4">
        <v>0</v>
      </c>
      <c r="Q186" s="4">
        <v>0</v>
      </c>
      <c r="R186" s="4">
        <v>0</v>
      </c>
      <c r="S186" s="4">
        <v>0</v>
      </c>
      <c r="T186" s="2" t="s">
        <v>2</v>
      </c>
      <c r="U186" s="2" t="s">
        <v>1880</v>
      </c>
      <c r="V186" s="2" t="s">
        <v>2</v>
      </c>
      <c r="W186" s="2" t="s">
        <v>510</v>
      </c>
    </row>
    <row r="187" spans="1:23" ht="24" customHeight="1" x14ac:dyDescent="0.3">
      <c r="A187" s="2" t="s">
        <v>750</v>
      </c>
      <c r="B187" s="11"/>
      <c r="C187" s="11"/>
      <c r="D187" s="2" t="s">
        <v>1881</v>
      </c>
      <c r="E187" s="2" t="s">
        <v>645</v>
      </c>
      <c r="F187" s="2" t="s">
        <v>1882</v>
      </c>
      <c r="G187" s="2" t="s">
        <v>2</v>
      </c>
      <c r="H187" s="2" t="s">
        <v>2</v>
      </c>
      <c r="I187" s="2" t="s">
        <v>27</v>
      </c>
      <c r="J187" s="2" t="s">
        <v>2</v>
      </c>
      <c r="K187" s="3">
        <v>0</v>
      </c>
      <c r="L187" s="3">
        <v>0</v>
      </c>
      <c r="M187" s="3">
        <v>3</v>
      </c>
      <c r="N187" s="3">
        <v>0</v>
      </c>
      <c r="O187" s="4">
        <v>0</v>
      </c>
      <c r="P187" s="4">
        <v>0</v>
      </c>
      <c r="Q187" s="4">
        <v>34.299999999999997</v>
      </c>
      <c r="R187" s="4">
        <v>0</v>
      </c>
      <c r="S187" s="4">
        <v>2289.1999999999998</v>
      </c>
      <c r="T187" s="2" t="s">
        <v>1883</v>
      </c>
      <c r="U187" s="2" t="s">
        <v>1091</v>
      </c>
      <c r="V187" s="2" t="s">
        <v>2</v>
      </c>
      <c r="W187" s="2" t="s">
        <v>2</v>
      </c>
    </row>
    <row r="188" spans="1:23" ht="24" customHeight="1" x14ac:dyDescent="0.3">
      <c r="A188" s="2" t="s">
        <v>751</v>
      </c>
      <c r="B188" s="11"/>
      <c r="C188" s="11"/>
      <c r="D188" s="2" t="s">
        <v>1884</v>
      </c>
      <c r="E188" s="2" t="s">
        <v>1885</v>
      </c>
      <c r="F188" s="2" t="s">
        <v>1886</v>
      </c>
      <c r="G188" s="2" t="s">
        <v>2</v>
      </c>
      <c r="H188" s="2" t="s">
        <v>2</v>
      </c>
      <c r="I188" s="2" t="s">
        <v>2</v>
      </c>
      <c r="J188" s="2" t="s">
        <v>28</v>
      </c>
      <c r="K188" s="3">
        <v>0</v>
      </c>
      <c r="L188" s="3">
        <v>0</v>
      </c>
      <c r="M188" s="3">
        <v>0</v>
      </c>
      <c r="N188" s="3">
        <v>2</v>
      </c>
      <c r="O188" s="4">
        <v>0</v>
      </c>
      <c r="P188" s="4">
        <v>0</v>
      </c>
      <c r="Q188" s="4">
        <v>0</v>
      </c>
      <c r="R188" s="4">
        <v>14</v>
      </c>
      <c r="S188" s="4">
        <v>14545.5</v>
      </c>
      <c r="T188" s="2" t="s">
        <v>1887</v>
      </c>
      <c r="U188" s="2" t="s">
        <v>1888</v>
      </c>
      <c r="V188" s="2" t="s">
        <v>2</v>
      </c>
      <c r="W188" s="2" t="s">
        <v>2</v>
      </c>
    </row>
    <row r="189" spans="1:23" ht="24" customHeight="1" x14ac:dyDescent="0.3">
      <c r="A189" s="2" t="s">
        <v>752</v>
      </c>
      <c r="B189" s="11"/>
      <c r="C189" s="11"/>
      <c r="D189" s="2" t="s">
        <v>1889</v>
      </c>
      <c r="E189" s="2" t="s">
        <v>1890</v>
      </c>
      <c r="F189" s="2" t="s">
        <v>1891</v>
      </c>
      <c r="G189" s="2" t="s">
        <v>2</v>
      </c>
      <c r="H189" s="2" t="s">
        <v>2</v>
      </c>
      <c r="I189" s="2" t="s">
        <v>2</v>
      </c>
      <c r="J189" s="2" t="s">
        <v>28</v>
      </c>
      <c r="K189" s="3">
        <v>0</v>
      </c>
      <c r="L189" s="3">
        <v>0</v>
      </c>
      <c r="M189" s="3">
        <v>0</v>
      </c>
      <c r="N189" s="3">
        <v>12</v>
      </c>
      <c r="O189" s="4">
        <v>0</v>
      </c>
      <c r="P189" s="4">
        <v>0</v>
      </c>
      <c r="Q189" s="4">
        <v>0</v>
      </c>
      <c r="R189" s="4">
        <v>240</v>
      </c>
      <c r="S189" s="4">
        <v>23436.9</v>
      </c>
      <c r="T189" s="2" t="s">
        <v>1892</v>
      </c>
      <c r="U189" s="2" t="s">
        <v>1893</v>
      </c>
      <c r="V189" s="2" t="s">
        <v>2</v>
      </c>
      <c r="W189" s="2" t="s">
        <v>2</v>
      </c>
    </row>
    <row r="190" spans="1:23" ht="24" customHeight="1" x14ac:dyDescent="0.3">
      <c r="A190" s="2" t="s">
        <v>752</v>
      </c>
      <c r="B190" s="11"/>
      <c r="C190" s="11"/>
      <c r="D190" s="2" t="s">
        <v>1889</v>
      </c>
      <c r="E190" s="2" t="s">
        <v>1890</v>
      </c>
      <c r="F190" s="2" t="s">
        <v>1891</v>
      </c>
      <c r="G190" s="2" t="s">
        <v>2</v>
      </c>
      <c r="H190" s="2" t="s">
        <v>2</v>
      </c>
      <c r="I190" s="2" t="s">
        <v>27</v>
      </c>
      <c r="J190" s="2" t="s">
        <v>2</v>
      </c>
      <c r="K190" s="3">
        <v>0</v>
      </c>
      <c r="L190" s="3">
        <v>0</v>
      </c>
      <c r="M190" s="3">
        <v>4</v>
      </c>
      <c r="N190" s="3">
        <v>0</v>
      </c>
      <c r="O190" s="4">
        <v>0</v>
      </c>
      <c r="P190" s="4">
        <v>0</v>
      </c>
      <c r="Q190" s="4">
        <v>50</v>
      </c>
      <c r="R190" s="4">
        <v>0</v>
      </c>
      <c r="S190" s="4">
        <v>2864.2</v>
      </c>
      <c r="T190" s="2" t="s">
        <v>1892</v>
      </c>
      <c r="U190" s="2" t="s">
        <v>1894</v>
      </c>
      <c r="V190" s="2" t="s">
        <v>2</v>
      </c>
      <c r="W190" s="2" t="s">
        <v>2</v>
      </c>
    </row>
    <row r="191" spans="1:23" ht="24" customHeight="1" x14ac:dyDescent="0.3">
      <c r="A191" s="2" t="s">
        <v>755</v>
      </c>
      <c r="B191" s="11"/>
      <c r="C191" s="11"/>
      <c r="D191" s="2" t="s">
        <v>1895</v>
      </c>
      <c r="E191" s="2" t="s">
        <v>1896</v>
      </c>
      <c r="F191" s="2" t="s">
        <v>1897</v>
      </c>
      <c r="G191" s="2" t="s">
        <v>2</v>
      </c>
      <c r="H191" s="2" t="s">
        <v>2</v>
      </c>
      <c r="I191" s="2" t="s">
        <v>2</v>
      </c>
      <c r="J191" s="2" t="s">
        <v>28</v>
      </c>
      <c r="K191" s="3">
        <v>0</v>
      </c>
      <c r="L191" s="3">
        <v>0</v>
      </c>
      <c r="M191" s="3">
        <v>0</v>
      </c>
      <c r="N191" s="3">
        <v>4</v>
      </c>
      <c r="O191" s="4">
        <v>0</v>
      </c>
      <c r="P191" s="4">
        <v>0</v>
      </c>
      <c r="Q191" s="4">
        <v>0</v>
      </c>
      <c r="R191" s="4">
        <v>8</v>
      </c>
      <c r="S191" s="4">
        <v>261</v>
      </c>
      <c r="T191" s="2" t="s">
        <v>2</v>
      </c>
      <c r="U191" s="2" t="s">
        <v>1898</v>
      </c>
      <c r="V191" s="2" t="s">
        <v>2</v>
      </c>
      <c r="W191" s="2" t="s">
        <v>2</v>
      </c>
    </row>
    <row r="192" spans="1:23" ht="24" customHeight="1" x14ac:dyDescent="0.3">
      <c r="A192" s="2" t="s">
        <v>756</v>
      </c>
      <c r="B192" s="11"/>
      <c r="C192" s="11"/>
      <c r="D192" s="2" t="s">
        <v>1899</v>
      </c>
      <c r="E192" s="2" t="s">
        <v>896</v>
      </c>
      <c r="F192" s="2" t="s">
        <v>1900</v>
      </c>
      <c r="G192" s="2" t="s">
        <v>2</v>
      </c>
      <c r="H192" s="2" t="s">
        <v>2</v>
      </c>
      <c r="I192" s="2" t="s">
        <v>2</v>
      </c>
      <c r="J192" s="2" t="s">
        <v>28</v>
      </c>
      <c r="K192" s="3">
        <v>0</v>
      </c>
      <c r="L192" s="3">
        <v>0</v>
      </c>
      <c r="M192" s="3">
        <v>0</v>
      </c>
      <c r="N192" s="3">
        <v>31</v>
      </c>
      <c r="O192" s="4">
        <v>0</v>
      </c>
      <c r="P192" s="4">
        <v>0</v>
      </c>
      <c r="Q192" s="4">
        <v>0</v>
      </c>
      <c r="R192" s="4">
        <v>680</v>
      </c>
      <c r="S192" s="4">
        <v>67700.100000000006</v>
      </c>
      <c r="T192" s="2" t="s">
        <v>1901</v>
      </c>
      <c r="U192" s="2" t="s">
        <v>1902</v>
      </c>
      <c r="V192" s="2" t="s">
        <v>2</v>
      </c>
      <c r="W192" s="2" t="s">
        <v>2</v>
      </c>
    </row>
    <row r="193" spans="1:23" ht="24" customHeight="1" x14ac:dyDescent="0.3">
      <c r="A193" s="2" t="s">
        <v>756</v>
      </c>
      <c r="B193" s="11"/>
      <c r="C193" s="11"/>
      <c r="D193" s="2" t="s">
        <v>1899</v>
      </c>
      <c r="E193" s="2" t="s">
        <v>896</v>
      </c>
      <c r="F193" s="2" t="s">
        <v>1900</v>
      </c>
      <c r="G193" s="2" t="s">
        <v>2</v>
      </c>
      <c r="H193" s="2" t="s">
        <v>2</v>
      </c>
      <c r="I193" s="2" t="s">
        <v>27</v>
      </c>
      <c r="J193" s="2" t="s">
        <v>2</v>
      </c>
      <c r="K193" s="3">
        <v>0</v>
      </c>
      <c r="L193" s="3">
        <v>0</v>
      </c>
      <c r="M193" s="3">
        <v>7</v>
      </c>
      <c r="N193" s="3">
        <v>0</v>
      </c>
      <c r="O193" s="4">
        <v>0</v>
      </c>
      <c r="P193" s="4">
        <v>0</v>
      </c>
      <c r="Q193" s="4">
        <v>140</v>
      </c>
      <c r="R193" s="4">
        <v>0</v>
      </c>
      <c r="S193" s="4">
        <v>5836.2</v>
      </c>
      <c r="T193" s="2" t="s">
        <v>1901</v>
      </c>
      <c r="U193" s="2" t="s">
        <v>1902</v>
      </c>
      <c r="V193" s="2" t="s">
        <v>2</v>
      </c>
      <c r="W193" s="2" t="s">
        <v>2</v>
      </c>
    </row>
    <row r="194" spans="1:23" ht="24" customHeight="1" x14ac:dyDescent="0.3">
      <c r="A194" s="2" t="s">
        <v>757</v>
      </c>
      <c r="B194" s="11"/>
      <c r="C194" s="11"/>
      <c r="D194" s="2" t="s">
        <v>1903</v>
      </c>
      <c r="E194" s="2" t="s">
        <v>1904</v>
      </c>
      <c r="F194" s="2" t="s">
        <v>1905</v>
      </c>
      <c r="G194" s="2" t="s">
        <v>2</v>
      </c>
      <c r="H194" s="2" t="s">
        <v>2</v>
      </c>
      <c r="I194" s="2" t="s">
        <v>27</v>
      </c>
      <c r="J194" s="2" t="s">
        <v>2</v>
      </c>
      <c r="K194" s="3">
        <v>0</v>
      </c>
      <c r="L194" s="3">
        <v>0</v>
      </c>
      <c r="M194" s="3">
        <v>10</v>
      </c>
      <c r="N194" s="3">
        <v>0</v>
      </c>
      <c r="O194" s="4">
        <v>0</v>
      </c>
      <c r="P194" s="4">
        <v>0</v>
      </c>
      <c r="Q194" s="4">
        <v>26.9</v>
      </c>
      <c r="R194" s="4">
        <v>0</v>
      </c>
      <c r="S194" s="4">
        <v>10995.2</v>
      </c>
      <c r="T194" s="2" t="s">
        <v>1734</v>
      </c>
      <c r="U194" s="2" t="s">
        <v>1906</v>
      </c>
      <c r="V194" s="2" t="s">
        <v>2</v>
      </c>
      <c r="W194" s="2" t="s">
        <v>510</v>
      </c>
    </row>
    <row r="195" spans="1:23" ht="24" customHeight="1" x14ac:dyDescent="0.3">
      <c r="A195" s="2" t="s">
        <v>758</v>
      </c>
      <c r="B195" s="11"/>
      <c r="C195" s="11"/>
      <c r="D195" s="2" t="s">
        <v>1907</v>
      </c>
      <c r="E195" s="2" t="s">
        <v>1908</v>
      </c>
      <c r="F195" s="2" t="s">
        <v>1909</v>
      </c>
      <c r="G195" s="2" t="s">
        <v>2</v>
      </c>
      <c r="H195" s="2" t="s">
        <v>2</v>
      </c>
      <c r="I195" s="2" t="s">
        <v>2</v>
      </c>
      <c r="J195" s="2" t="s">
        <v>28</v>
      </c>
      <c r="K195" s="3">
        <v>0</v>
      </c>
      <c r="L195" s="3">
        <v>0</v>
      </c>
      <c r="M195" s="3">
        <v>0</v>
      </c>
      <c r="N195" s="3">
        <v>2</v>
      </c>
      <c r="O195" s="4">
        <v>0</v>
      </c>
      <c r="P195" s="4">
        <v>0</v>
      </c>
      <c r="Q195" s="4">
        <v>0</v>
      </c>
      <c r="R195" s="4">
        <v>10</v>
      </c>
      <c r="S195" s="4">
        <v>522.20000000000005</v>
      </c>
      <c r="T195" s="2" t="s">
        <v>1910</v>
      </c>
      <c r="U195" s="2" t="s">
        <v>428</v>
      </c>
      <c r="V195" s="2" t="s">
        <v>2</v>
      </c>
      <c r="W195" s="2" t="s">
        <v>2</v>
      </c>
    </row>
    <row r="196" spans="1:23" ht="24" customHeight="1" x14ac:dyDescent="0.3">
      <c r="A196" s="2" t="s">
        <v>759</v>
      </c>
      <c r="B196" s="11"/>
      <c r="C196" s="11"/>
      <c r="D196" s="2" t="s">
        <v>1911</v>
      </c>
      <c r="E196" s="2" t="s">
        <v>1912</v>
      </c>
      <c r="F196" s="2" t="s">
        <v>1913</v>
      </c>
      <c r="G196" s="2" t="s">
        <v>2</v>
      </c>
      <c r="H196" s="2" t="s">
        <v>2</v>
      </c>
      <c r="I196" s="2" t="s">
        <v>2</v>
      </c>
      <c r="J196" s="2" t="s">
        <v>28</v>
      </c>
      <c r="K196" s="3">
        <v>0</v>
      </c>
      <c r="L196" s="3">
        <v>0</v>
      </c>
      <c r="M196" s="3">
        <v>0</v>
      </c>
      <c r="N196" s="3">
        <v>2</v>
      </c>
      <c r="O196" s="4">
        <v>0</v>
      </c>
      <c r="P196" s="4">
        <v>0</v>
      </c>
      <c r="Q196" s="4">
        <v>0</v>
      </c>
      <c r="R196" s="4">
        <v>3.5</v>
      </c>
      <c r="S196" s="4">
        <v>111.4</v>
      </c>
      <c r="T196" s="2" t="s">
        <v>1914</v>
      </c>
      <c r="U196" s="2" t="s">
        <v>1915</v>
      </c>
      <c r="V196" s="2" t="s">
        <v>2</v>
      </c>
      <c r="W196" s="2" t="s">
        <v>2</v>
      </c>
    </row>
    <row r="197" spans="1:23" ht="24" customHeight="1" x14ac:dyDescent="0.3">
      <c r="A197" s="2" t="s">
        <v>761</v>
      </c>
      <c r="B197" s="11"/>
      <c r="C197" s="11"/>
      <c r="D197" s="2" t="s">
        <v>1916</v>
      </c>
      <c r="E197" s="2" t="s">
        <v>1917</v>
      </c>
      <c r="F197" s="2" t="s">
        <v>1918</v>
      </c>
      <c r="G197" s="2" t="s">
        <v>2</v>
      </c>
      <c r="H197" s="2" t="s">
        <v>2</v>
      </c>
      <c r="I197" s="2" t="s">
        <v>27</v>
      </c>
      <c r="J197" s="2" t="s">
        <v>2</v>
      </c>
      <c r="K197" s="3">
        <v>0</v>
      </c>
      <c r="L197" s="3">
        <v>0</v>
      </c>
      <c r="M197" s="3">
        <v>3</v>
      </c>
      <c r="N197" s="3">
        <v>0</v>
      </c>
      <c r="O197" s="4">
        <v>0</v>
      </c>
      <c r="P197" s="4">
        <v>0</v>
      </c>
      <c r="Q197" s="4">
        <v>4</v>
      </c>
      <c r="R197" s="4">
        <v>0</v>
      </c>
      <c r="S197" s="4">
        <v>0</v>
      </c>
      <c r="T197" s="2" t="s">
        <v>1919</v>
      </c>
      <c r="U197" s="2" t="s">
        <v>1920</v>
      </c>
      <c r="V197" s="2" t="s">
        <v>2</v>
      </c>
      <c r="W197" s="2" t="s">
        <v>1921</v>
      </c>
    </row>
    <row r="198" spans="1:23" ht="24" customHeight="1" x14ac:dyDescent="0.3">
      <c r="A198" s="2" t="s">
        <v>762</v>
      </c>
      <c r="B198" s="11"/>
      <c r="C198" s="11"/>
      <c r="D198" s="2" t="s">
        <v>732</v>
      </c>
      <c r="E198" s="2" t="s">
        <v>1922</v>
      </c>
      <c r="F198" s="2" t="s">
        <v>1923</v>
      </c>
      <c r="G198" s="2" t="s">
        <v>2</v>
      </c>
      <c r="H198" s="2" t="s">
        <v>2</v>
      </c>
      <c r="I198" s="2" t="s">
        <v>2</v>
      </c>
      <c r="J198" s="2" t="s">
        <v>28</v>
      </c>
      <c r="K198" s="3">
        <v>0</v>
      </c>
      <c r="L198" s="3">
        <v>0</v>
      </c>
      <c r="M198" s="3">
        <v>0</v>
      </c>
      <c r="N198" s="3">
        <v>2</v>
      </c>
      <c r="O198" s="4">
        <v>0</v>
      </c>
      <c r="P198" s="4">
        <v>0</v>
      </c>
      <c r="Q198" s="4">
        <v>0</v>
      </c>
      <c r="R198" s="4">
        <v>12</v>
      </c>
      <c r="S198" s="4">
        <v>30.3</v>
      </c>
      <c r="T198" s="2" t="s">
        <v>2</v>
      </c>
      <c r="U198" s="2" t="s">
        <v>1924</v>
      </c>
      <c r="V198" s="2" t="s">
        <v>2</v>
      </c>
      <c r="W198" s="2" t="s">
        <v>2</v>
      </c>
    </row>
    <row r="199" spans="1:23" ht="24" customHeight="1" x14ac:dyDescent="0.3">
      <c r="A199" s="2" t="s">
        <v>763</v>
      </c>
      <c r="B199" s="11"/>
      <c r="C199" s="11"/>
      <c r="D199" s="2" t="s">
        <v>1925</v>
      </c>
      <c r="E199" s="2" t="s">
        <v>1926</v>
      </c>
      <c r="F199" s="2" t="s">
        <v>1927</v>
      </c>
      <c r="G199" s="2" t="s">
        <v>2</v>
      </c>
      <c r="H199" s="2" t="s">
        <v>2</v>
      </c>
      <c r="I199" s="2" t="s">
        <v>27</v>
      </c>
      <c r="J199" s="2" t="s">
        <v>2</v>
      </c>
      <c r="K199" s="3">
        <v>0</v>
      </c>
      <c r="L199" s="3">
        <v>0</v>
      </c>
      <c r="M199" s="3">
        <v>4</v>
      </c>
      <c r="N199" s="3">
        <v>0</v>
      </c>
      <c r="O199" s="4">
        <v>0</v>
      </c>
      <c r="P199" s="4">
        <v>0</v>
      </c>
      <c r="Q199" s="4">
        <v>7.2</v>
      </c>
      <c r="R199" s="4">
        <v>0</v>
      </c>
      <c r="S199" s="4">
        <v>1265.0999999999999</v>
      </c>
      <c r="T199" s="2" t="s">
        <v>1928</v>
      </c>
      <c r="U199" s="2" t="s">
        <v>1063</v>
      </c>
      <c r="V199" s="2" t="s">
        <v>2</v>
      </c>
      <c r="W199" s="2" t="s">
        <v>2</v>
      </c>
    </row>
    <row r="200" spans="1:23" ht="24" customHeight="1" x14ac:dyDescent="0.3">
      <c r="A200" s="2" t="s">
        <v>764</v>
      </c>
      <c r="B200" s="11"/>
      <c r="C200" s="11"/>
      <c r="D200" s="2" t="s">
        <v>1929</v>
      </c>
      <c r="E200" s="2" t="s">
        <v>1930</v>
      </c>
      <c r="F200" s="2" t="s">
        <v>1931</v>
      </c>
      <c r="G200" s="2" t="s">
        <v>2</v>
      </c>
      <c r="H200" s="2" t="s">
        <v>2</v>
      </c>
      <c r="I200" s="2" t="s">
        <v>2</v>
      </c>
      <c r="J200" s="2" t="s">
        <v>28</v>
      </c>
      <c r="K200" s="3">
        <v>0</v>
      </c>
      <c r="L200" s="3">
        <v>0</v>
      </c>
      <c r="M200" s="3">
        <v>0</v>
      </c>
      <c r="N200" s="3">
        <v>4</v>
      </c>
      <c r="O200" s="4">
        <v>0</v>
      </c>
      <c r="P200" s="4">
        <v>0</v>
      </c>
      <c r="Q200" s="4">
        <v>0</v>
      </c>
      <c r="R200" s="4">
        <v>15</v>
      </c>
      <c r="S200" s="4">
        <v>0</v>
      </c>
      <c r="T200" s="2" t="s">
        <v>1932</v>
      </c>
      <c r="U200" s="2" t="s">
        <v>1933</v>
      </c>
      <c r="V200" s="2" t="s">
        <v>2</v>
      </c>
      <c r="W200" s="2" t="s">
        <v>1921</v>
      </c>
    </row>
    <row r="201" spans="1:23" ht="24" customHeight="1" x14ac:dyDescent="0.3">
      <c r="A201" s="2" t="s">
        <v>765</v>
      </c>
      <c r="B201" s="11"/>
      <c r="C201" s="11"/>
      <c r="D201" s="2" t="s">
        <v>1934</v>
      </c>
      <c r="E201" s="2" t="s">
        <v>1935</v>
      </c>
      <c r="F201" s="2" t="s">
        <v>1936</v>
      </c>
      <c r="G201" s="2" t="s">
        <v>26</v>
      </c>
      <c r="H201" s="2" t="s">
        <v>26</v>
      </c>
      <c r="I201" s="2" t="s">
        <v>2</v>
      </c>
      <c r="J201" s="2" t="s">
        <v>2</v>
      </c>
      <c r="K201" s="3">
        <v>2</v>
      </c>
      <c r="L201" s="3">
        <v>4</v>
      </c>
      <c r="M201" s="3">
        <v>0</v>
      </c>
      <c r="N201" s="3">
        <v>0</v>
      </c>
      <c r="O201" s="4">
        <v>12</v>
      </c>
      <c r="P201" s="4">
        <v>24</v>
      </c>
      <c r="Q201" s="4">
        <v>0</v>
      </c>
      <c r="R201" s="4">
        <v>0</v>
      </c>
      <c r="S201" s="4">
        <v>11834.6</v>
      </c>
      <c r="T201" s="2" t="s">
        <v>1937</v>
      </c>
      <c r="U201" s="2" t="s">
        <v>306</v>
      </c>
      <c r="V201" s="2" t="s">
        <v>2</v>
      </c>
      <c r="W201" s="2" t="s">
        <v>2</v>
      </c>
    </row>
    <row r="202" spans="1:23" ht="24" customHeight="1" x14ac:dyDescent="0.3">
      <c r="A202" s="2" t="s">
        <v>766</v>
      </c>
      <c r="B202" s="11"/>
      <c r="C202" s="11"/>
      <c r="D202" s="2" t="s">
        <v>1938</v>
      </c>
      <c r="E202" s="2" t="s">
        <v>1939</v>
      </c>
      <c r="F202" s="2" t="s">
        <v>1940</v>
      </c>
      <c r="G202" s="2" t="s">
        <v>2</v>
      </c>
      <c r="H202" s="2" t="s">
        <v>2</v>
      </c>
      <c r="I202" s="2" t="s">
        <v>27</v>
      </c>
      <c r="J202" s="2" t="s">
        <v>2</v>
      </c>
      <c r="K202" s="3">
        <v>0</v>
      </c>
      <c r="L202" s="3">
        <v>0</v>
      </c>
      <c r="M202" s="3">
        <v>3</v>
      </c>
      <c r="N202" s="3">
        <v>0</v>
      </c>
      <c r="O202" s="4">
        <v>0</v>
      </c>
      <c r="P202" s="4">
        <v>0</v>
      </c>
      <c r="Q202" s="4">
        <v>5</v>
      </c>
      <c r="R202" s="4">
        <v>0</v>
      </c>
      <c r="S202" s="4">
        <v>12568.9</v>
      </c>
      <c r="T202" s="2" t="s">
        <v>1941</v>
      </c>
      <c r="U202" s="2" t="s">
        <v>1942</v>
      </c>
      <c r="V202" s="2" t="s">
        <v>2</v>
      </c>
      <c r="W202" s="2" t="s">
        <v>2</v>
      </c>
    </row>
    <row r="203" spans="1:23" ht="24" customHeight="1" x14ac:dyDescent="0.3">
      <c r="A203" s="2" t="s">
        <v>767</v>
      </c>
      <c r="B203" s="11"/>
      <c r="C203" s="11"/>
      <c r="D203" s="2" t="s">
        <v>1943</v>
      </c>
      <c r="E203" s="2" t="s">
        <v>1944</v>
      </c>
      <c r="F203" s="2" t="s">
        <v>1945</v>
      </c>
      <c r="G203" s="2" t="s">
        <v>26</v>
      </c>
      <c r="H203" s="2" t="s">
        <v>26</v>
      </c>
      <c r="I203" s="2" t="s">
        <v>2</v>
      </c>
      <c r="J203" s="2" t="s">
        <v>2</v>
      </c>
      <c r="K203" s="3">
        <v>9</v>
      </c>
      <c r="L203" s="3">
        <v>3</v>
      </c>
      <c r="M203" s="3">
        <v>0</v>
      </c>
      <c r="N203" s="3">
        <v>0</v>
      </c>
      <c r="O203" s="4">
        <v>54</v>
      </c>
      <c r="P203" s="4">
        <v>17</v>
      </c>
      <c r="Q203" s="4">
        <v>0</v>
      </c>
      <c r="R203" s="4">
        <v>0</v>
      </c>
      <c r="S203" s="4">
        <v>19125.400000000001</v>
      </c>
      <c r="T203" s="2" t="s">
        <v>1452</v>
      </c>
      <c r="U203" s="2" t="s">
        <v>1698</v>
      </c>
      <c r="V203" s="2" t="s">
        <v>2</v>
      </c>
      <c r="W203" s="2" t="s">
        <v>2</v>
      </c>
    </row>
    <row r="204" spans="1:23" ht="24" customHeight="1" x14ac:dyDescent="0.3">
      <c r="A204" s="2" t="s">
        <v>769</v>
      </c>
      <c r="B204" s="11"/>
      <c r="C204" s="11"/>
      <c r="D204" s="2" t="s">
        <v>1946</v>
      </c>
      <c r="E204" s="2" t="s">
        <v>1947</v>
      </c>
      <c r="F204" s="2" t="s">
        <v>1948</v>
      </c>
      <c r="G204" s="2" t="s">
        <v>2</v>
      </c>
      <c r="H204" s="2" t="s">
        <v>2</v>
      </c>
      <c r="I204" s="2" t="s">
        <v>2</v>
      </c>
      <c r="J204" s="2" t="s">
        <v>28</v>
      </c>
      <c r="K204" s="3">
        <v>0</v>
      </c>
      <c r="L204" s="3">
        <v>0</v>
      </c>
      <c r="M204" s="3">
        <v>0</v>
      </c>
      <c r="N204" s="3">
        <v>2</v>
      </c>
      <c r="O204" s="4">
        <v>0</v>
      </c>
      <c r="P204" s="4">
        <v>0</v>
      </c>
      <c r="Q204" s="4">
        <v>0</v>
      </c>
      <c r="R204" s="4">
        <v>3.5</v>
      </c>
      <c r="S204" s="4">
        <v>0</v>
      </c>
      <c r="T204" s="2" t="s">
        <v>1949</v>
      </c>
      <c r="U204" s="2" t="s">
        <v>1950</v>
      </c>
      <c r="V204" s="2" t="s">
        <v>2</v>
      </c>
      <c r="W204" s="2" t="s">
        <v>2</v>
      </c>
    </row>
    <row r="205" spans="1:23" ht="24" customHeight="1" x14ac:dyDescent="0.3">
      <c r="A205" s="2" t="s">
        <v>770</v>
      </c>
      <c r="B205" s="11"/>
      <c r="C205" s="11"/>
      <c r="D205" s="2" t="s">
        <v>1951</v>
      </c>
      <c r="E205" s="2" t="s">
        <v>1952</v>
      </c>
      <c r="F205" s="2" t="s">
        <v>1953</v>
      </c>
      <c r="G205" s="2" t="s">
        <v>2</v>
      </c>
      <c r="H205" s="2" t="s">
        <v>2</v>
      </c>
      <c r="I205" s="2" t="s">
        <v>2</v>
      </c>
      <c r="J205" s="2" t="s">
        <v>28</v>
      </c>
      <c r="K205" s="3">
        <v>0</v>
      </c>
      <c r="L205" s="3">
        <v>0</v>
      </c>
      <c r="M205" s="3">
        <v>0</v>
      </c>
      <c r="N205" s="3">
        <v>2</v>
      </c>
      <c r="O205" s="4">
        <v>0</v>
      </c>
      <c r="P205" s="4">
        <v>0</v>
      </c>
      <c r="Q205" s="4">
        <v>0</v>
      </c>
      <c r="R205" s="4">
        <v>20</v>
      </c>
      <c r="S205" s="4">
        <v>2703.8</v>
      </c>
      <c r="T205" s="2" t="s">
        <v>2</v>
      </c>
      <c r="U205" s="2" t="s">
        <v>585</v>
      </c>
      <c r="V205" s="2" t="s">
        <v>2</v>
      </c>
      <c r="W205" s="2" t="s">
        <v>2</v>
      </c>
    </row>
    <row r="206" spans="1:23" ht="24" customHeight="1" x14ac:dyDescent="0.3">
      <c r="A206" s="2" t="s">
        <v>771</v>
      </c>
      <c r="B206" s="11"/>
      <c r="C206" s="11"/>
      <c r="D206" s="2" t="s">
        <v>1954</v>
      </c>
      <c r="E206" s="2" t="s">
        <v>1952</v>
      </c>
      <c r="F206" s="2" t="s">
        <v>1955</v>
      </c>
      <c r="G206" s="2" t="s">
        <v>2</v>
      </c>
      <c r="H206" s="2" t="s">
        <v>2</v>
      </c>
      <c r="I206" s="2" t="s">
        <v>27</v>
      </c>
      <c r="J206" s="2" t="s">
        <v>2</v>
      </c>
      <c r="K206" s="3">
        <v>0</v>
      </c>
      <c r="L206" s="3">
        <v>0</v>
      </c>
      <c r="M206" s="3">
        <v>4</v>
      </c>
      <c r="N206" s="3">
        <v>0</v>
      </c>
      <c r="O206" s="4">
        <v>0</v>
      </c>
      <c r="P206" s="4">
        <v>0</v>
      </c>
      <c r="Q206" s="4">
        <v>9.1</v>
      </c>
      <c r="R206" s="4">
        <v>0</v>
      </c>
      <c r="S206" s="4">
        <v>993</v>
      </c>
      <c r="T206" s="2" t="s">
        <v>1956</v>
      </c>
      <c r="U206" s="2" t="s">
        <v>1957</v>
      </c>
      <c r="V206" s="2" t="s">
        <v>2</v>
      </c>
      <c r="W206" s="2" t="s">
        <v>510</v>
      </c>
    </row>
    <row r="207" spans="1:23" ht="24" customHeight="1" x14ac:dyDescent="0.3">
      <c r="A207" s="2" t="s">
        <v>772</v>
      </c>
      <c r="B207" s="11"/>
      <c r="C207" s="11"/>
      <c r="D207" s="2" t="s">
        <v>1029</v>
      </c>
      <c r="E207" s="2" t="s">
        <v>1958</v>
      </c>
      <c r="F207" s="2" t="s">
        <v>1959</v>
      </c>
      <c r="G207" s="2" t="s">
        <v>2</v>
      </c>
      <c r="H207" s="2" t="s">
        <v>2</v>
      </c>
      <c r="I207" s="2" t="s">
        <v>2</v>
      </c>
      <c r="J207" s="2" t="s">
        <v>28</v>
      </c>
      <c r="K207" s="3">
        <v>0</v>
      </c>
      <c r="L207" s="3">
        <v>0</v>
      </c>
      <c r="M207" s="3">
        <v>0</v>
      </c>
      <c r="N207" s="3">
        <v>2</v>
      </c>
      <c r="O207" s="4">
        <v>0</v>
      </c>
      <c r="P207" s="4">
        <v>0</v>
      </c>
      <c r="Q207" s="4">
        <v>0</v>
      </c>
      <c r="R207" s="4">
        <v>5</v>
      </c>
      <c r="S207" s="4">
        <v>774.8</v>
      </c>
      <c r="T207" s="2" t="s">
        <v>1960</v>
      </c>
      <c r="U207" s="2" t="s">
        <v>1961</v>
      </c>
      <c r="V207" s="2" t="s">
        <v>2</v>
      </c>
      <c r="W207" s="2" t="s">
        <v>2</v>
      </c>
    </row>
    <row r="208" spans="1:23" ht="24" customHeight="1" x14ac:dyDescent="0.3">
      <c r="A208" s="2" t="s">
        <v>773</v>
      </c>
      <c r="B208" s="11"/>
      <c r="C208" s="11"/>
      <c r="D208" s="2" t="s">
        <v>1962</v>
      </c>
      <c r="E208" s="2" t="s">
        <v>1963</v>
      </c>
      <c r="F208" s="2" t="s">
        <v>1964</v>
      </c>
      <c r="G208" s="2" t="s">
        <v>2</v>
      </c>
      <c r="H208" s="2" t="s">
        <v>2</v>
      </c>
      <c r="I208" s="2" t="s">
        <v>27</v>
      </c>
      <c r="J208" s="2" t="s">
        <v>2</v>
      </c>
      <c r="K208" s="3">
        <v>0</v>
      </c>
      <c r="L208" s="3">
        <v>0</v>
      </c>
      <c r="M208" s="3">
        <v>3</v>
      </c>
      <c r="N208" s="3">
        <v>0</v>
      </c>
      <c r="O208" s="4">
        <v>0</v>
      </c>
      <c r="P208" s="4">
        <v>0</v>
      </c>
      <c r="Q208" s="4">
        <v>5</v>
      </c>
      <c r="R208" s="4">
        <v>0</v>
      </c>
      <c r="S208" s="4">
        <v>664.4</v>
      </c>
      <c r="T208" s="2" t="s">
        <v>1965</v>
      </c>
      <c r="U208" s="2" t="s">
        <v>1966</v>
      </c>
      <c r="V208" s="2" t="s">
        <v>2</v>
      </c>
      <c r="W208" s="2" t="s">
        <v>2</v>
      </c>
    </row>
    <row r="209" spans="1:23" ht="24" customHeight="1" x14ac:dyDescent="0.3">
      <c r="A209" s="2" t="s">
        <v>774</v>
      </c>
      <c r="B209" s="11"/>
      <c r="C209" s="11"/>
      <c r="D209" s="2" t="s">
        <v>1967</v>
      </c>
      <c r="E209" s="2" t="s">
        <v>1968</v>
      </c>
      <c r="F209" s="2" t="s">
        <v>1969</v>
      </c>
      <c r="G209" s="2" t="s">
        <v>2</v>
      </c>
      <c r="H209" s="2" t="s">
        <v>2</v>
      </c>
      <c r="I209" s="2" t="s">
        <v>27</v>
      </c>
      <c r="J209" s="2" t="s">
        <v>2</v>
      </c>
      <c r="K209" s="3">
        <v>0</v>
      </c>
      <c r="L209" s="3">
        <v>0</v>
      </c>
      <c r="M209" s="3">
        <v>36</v>
      </c>
      <c r="N209" s="3">
        <v>0</v>
      </c>
      <c r="O209" s="4">
        <v>0</v>
      </c>
      <c r="P209" s="4">
        <v>0</v>
      </c>
      <c r="Q209" s="4">
        <v>500</v>
      </c>
      <c r="R209" s="4">
        <v>0</v>
      </c>
      <c r="S209" s="4">
        <v>4948.2</v>
      </c>
      <c r="T209" s="2" t="s">
        <v>1970</v>
      </c>
      <c r="U209" s="2" t="s">
        <v>1971</v>
      </c>
      <c r="V209" s="2" t="s">
        <v>2</v>
      </c>
      <c r="W209" s="2" t="s">
        <v>2</v>
      </c>
    </row>
    <row r="210" spans="1:23" ht="24" customHeight="1" x14ac:dyDescent="0.3">
      <c r="A210" s="2" t="s">
        <v>775</v>
      </c>
      <c r="B210" s="11"/>
      <c r="C210" s="11"/>
      <c r="D210" s="2" t="s">
        <v>1972</v>
      </c>
      <c r="E210" s="2" t="s">
        <v>1973</v>
      </c>
      <c r="F210" s="2" t="s">
        <v>1974</v>
      </c>
      <c r="G210" s="2" t="s">
        <v>2</v>
      </c>
      <c r="H210" s="2" t="s">
        <v>2</v>
      </c>
      <c r="I210" s="2" t="s">
        <v>2</v>
      </c>
      <c r="J210" s="2" t="s">
        <v>28</v>
      </c>
      <c r="K210" s="3">
        <v>0</v>
      </c>
      <c r="L210" s="3">
        <v>0</v>
      </c>
      <c r="M210" s="3">
        <v>0</v>
      </c>
      <c r="N210" s="3">
        <v>3</v>
      </c>
      <c r="O210" s="4">
        <v>0</v>
      </c>
      <c r="P210" s="4">
        <v>0</v>
      </c>
      <c r="Q210" s="4">
        <v>0</v>
      </c>
      <c r="R210" s="4">
        <v>5</v>
      </c>
      <c r="S210" s="4">
        <v>1025.2</v>
      </c>
      <c r="T210" s="2" t="s">
        <v>1975</v>
      </c>
      <c r="U210" s="2" t="s">
        <v>591</v>
      </c>
      <c r="V210" s="2" t="s">
        <v>2</v>
      </c>
      <c r="W210" s="2" t="s">
        <v>2</v>
      </c>
    </row>
    <row r="211" spans="1:23" ht="24" customHeight="1" x14ac:dyDescent="0.3">
      <c r="A211" s="2" t="s">
        <v>777</v>
      </c>
      <c r="B211" s="11"/>
      <c r="C211" s="11"/>
      <c r="D211" s="2" t="s">
        <v>1976</v>
      </c>
      <c r="E211" s="2" t="s">
        <v>1977</v>
      </c>
      <c r="F211" s="2" t="s">
        <v>1978</v>
      </c>
      <c r="G211" s="2" t="s">
        <v>2</v>
      </c>
      <c r="H211" s="2" t="s">
        <v>2</v>
      </c>
      <c r="I211" s="2" t="s">
        <v>2</v>
      </c>
      <c r="J211" s="2" t="s">
        <v>28</v>
      </c>
      <c r="K211" s="3">
        <v>0</v>
      </c>
      <c r="L211" s="3">
        <v>0</v>
      </c>
      <c r="M211" s="3">
        <v>0</v>
      </c>
      <c r="N211" s="3">
        <v>3</v>
      </c>
      <c r="O211" s="4">
        <v>0</v>
      </c>
      <c r="P211" s="4">
        <v>0</v>
      </c>
      <c r="Q211" s="4">
        <v>0</v>
      </c>
      <c r="R211" s="4">
        <v>5</v>
      </c>
      <c r="S211" s="4">
        <v>3322.7</v>
      </c>
      <c r="T211" s="2" t="s">
        <v>1979</v>
      </c>
      <c r="U211" s="2" t="s">
        <v>1980</v>
      </c>
      <c r="V211" s="2" t="s">
        <v>2</v>
      </c>
      <c r="W211" s="2" t="s">
        <v>2</v>
      </c>
    </row>
    <row r="212" spans="1:23" ht="24" customHeight="1" x14ac:dyDescent="0.3">
      <c r="A212" s="2" t="s">
        <v>778</v>
      </c>
      <c r="B212" s="11"/>
      <c r="C212" s="11"/>
      <c r="D212" s="2" t="s">
        <v>1981</v>
      </c>
      <c r="E212" s="2" t="s">
        <v>1982</v>
      </c>
      <c r="F212" s="2" t="s">
        <v>1983</v>
      </c>
      <c r="G212" s="2" t="s">
        <v>2</v>
      </c>
      <c r="H212" s="2" t="s">
        <v>2</v>
      </c>
      <c r="I212" s="2" t="s">
        <v>2</v>
      </c>
      <c r="J212" s="2" t="s">
        <v>28</v>
      </c>
      <c r="K212" s="3">
        <v>0</v>
      </c>
      <c r="L212" s="3">
        <v>0</v>
      </c>
      <c r="M212" s="3">
        <v>0</v>
      </c>
      <c r="N212" s="3">
        <v>2</v>
      </c>
      <c r="O212" s="4">
        <v>0</v>
      </c>
      <c r="P212" s="4">
        <v>0</v>
      </c>
      <c r="Q212" s="4">
        <v>0</v>
      </c>
      <c r="R212" s="4">
        <v>40.200000000000003</v>
      </c>
      <c r="S212" s="4">
        <v>0</v>
      </c>
      <c r="T212" s="2" t="s">
        <v>1984</v>
      </c>
      <c r="U212" s="2" t="s">
        <v>296</v>
      </c>
      <c r="V212" s="2" t="s">
        <v>2</v>
      </c>
      <c r="W212" s="2" t="s">
        <v>1867</v>
      </c>
    </row>
    <row r="213" spans="1:23" ht="24" customHeight="1" x14ac:dyDescent="0.3">
      <c r="A213" s="2" t="s">
        <v>780</v>
      </c>
      <c r="B213" s="11"/>
      <c r="C213" s="11"/>
      <c r="D213" s="2" t="s">
        <v>1985</v>
      </c>
      <c r="E213" s="2" t="s">
        <v>1986</v>
      </c>
      <c r="F213" s="2" t="s">
        <v>1987</v>
      </c>
      <c r="G213" s="2" t="s">
        <v>2</v>
      </c>
      <c r="H213" s="2" t="s">
        <v>2</v>
      </c>
      <c r="I213" s="2" t="s">
        <v>27</v>
      </c>
      <c r="J213" s="2" t="s">
        <v>2</v>
      </c>
      <c r="K213" s="3">
        <v>0</v>
      </c>
      <c r="L213" s="3">
        <v>0</v>
      </c>
      <c r="M213" s="3">
        <v>3</v>
      </c>
      <c r="N213" s="3">
        <v>0</v>
      </c>
      <c r="O213" s="4">
        <v>0</v>
      </c>
      <c r="P213" s="4">
        <v>0</v>
      </c>
      <c r="Q213" s="4">
        <v>12.8</v>
      </c>
      <c r="R213" s="4">
        <v>0</v>
      </c>
      <c r="S213" s="4">
        <v>0</v>
      </c>
      <c r="T213" s="2" t="s">
        <v>2</v>
      </c>
      <c r="U213" s="2" t="s">
        <v>1988</v>
      </c>
      <c r="V213" s="2" t="s">
        <v>2</v>
      </c>
      <c r="W213" s="2" t="s">
        <v>510</v>
      </c>
    </row>
    <row r="214" spans="1:23" ht="24" customHeight="1" x14ac:dyDescent="0.3">
      <c r="A214" s="2" t="s">
        <v>781</v>
      </c>
      <c r="B214" s="11"/>
      <c r="C214" s="11"/>
      <c r="D214" s="2" t="s">
        <v>1989</v>
      </c>
      <c r="E214" s="2" t="s">
        <v>803</v>
      </c>
      <c r="F214" s="2" t="s">
        <v>1990</v>
      </c>
      <c r="G214" s="2" t="s">
        <v>2</v>
      </c>
      <c r="H214" s="2" t="s">
        <v>2</v>
      </c>
      <c r="I214" s="2" t="s">
        <v>2</v>
      </c>
      <c r="J214" s="2" t="s">
        <v>28</v>
      </c>
      <c r="K214" s="3">
        <v>0</v>
      </c>
      <c r="L214" s="3">
        <v>0</v>
      </c>
      <c r="M214" s="3">
        <v>0</v>
      </c>
      <c r="N214" s="3">
        <v>2</v>
      </c>
      <c r="O214" s="4">
        <v>0</v>
      </c>
      <c r="P214" s="4">
        <v>0</v>
      </c>
      <c r="Q214" s="4">
        <v>0</v>
      </c>
      <c r="R214" s="4">
        <v>11</v>
      </c>
      <c r="S214" s="4">
        <v>336.2</v>
      </c>
      <c r="T214" s="2" t="s">
        <v>1991</v>
      </c>
      <c r="U214" s="2" t="s">
        <v>186</v>
      </c>
      <c r="V214" s="2" t="s">
        <v>2</v>
      </c>
      <c r="W214" s="2" t="s">
        <v>2</v>
      </c>
    </row>
    <row r="215" spans="1:23" ht="24" customHeight="1" x14ac:dyDescent="0.3">
      <c r="A215" s="2" t="s">
        <v>782</v>
      </c>
      <c r="B215" s="11"/>
      <c r="C215" s="11"/>
      <c r="D215" s="2" t="s">
        <v>1992</v>
      </c>
      <c r="E215" s="2" t="s">
        <v>1993</v>
      </c>
      <c r="F215" s="2" t="s">
        <v>1994</v>
      </c>
      <c r="G215" s="2" t="s">
        <v>2</v>
      </c>
      <c r="H215" s="2" t="s">
        <v>2</v>
      </c>
      <c r="I215" s="2" t="s">
        <v>2</v>
      </c>
      <c r="J215" s="2" t="s">
        <v>28</v>
      </c>
      <c r="K215" s="3">
        <v>0</v>
      </c>
      <c r="L215" s="3">
        <v>0</v>
      </c>
      <c r="M215" s="3">
        <v>0</v>
      </c>
      <c r="N215" s="3">
        <v>2</v>
      </c>
      <c r="O215" s="4">
        <v>0</v>
      </c>
      <c r="P215" s="4">
        <v>0</v>
      </c>
      <c r="Q215" s="4">
        <v>0</v>
      </c>
      <c r="R215" s="4">
        <v>2</v>
      </c>
      <c r="S215" s="4">
        <v>0</v>
      </c>
      <c r="T215" s="2" t="s">
        <v>2</v>
      </c>
      <c r="U215" s="2" t="s">
        <v>1995</v>
      </c>
      <c r="V215" s="2" t="s">
        <v>2</v>
      </c>
      <c r="W215" s="2" t="s">
        <v>2</v>
      </c>
    </row>
    <row r="216" spans="1:23" ht="24" customHeight="1" x14ac:dyDescent="0.3">
      <c r="A216" s="2" t="s">
        <v>783</v>
      </c>
      <c r="B216" s="11"/>
      <c r="C216" s="11"/>
      <c r="D216" s="2" t="s">
        <v>1996</v>
      </c>
      <c r="E216" s="2" t="s">
        <v>1997</v>
      </c>
      <c r="F216" s="2" t="s">
        <v>1998</v>
      </c>
      <c r="G216" s="2" t="s">
        <v>2</v>
      </c>
      <c r="H216" s="2" t="s">
        <v>2</v>
      </c>
      <c r="I216" s="2" t="s">
        <v>2</v>
      </c>
      <c r="J216" s="2" t="s">
        <v>28</v>
      </c>
      <c r="K216" s="3">
        <v>0</v>
      </c>
      <c r="L216" s="3">
        <v>0</v>
      </c>
      <c r="M216" s="3">
        <v>0</v>
      </c>
      <c r="N216" s="3">
        <v>2</v>
      </c>
      <c r="O216" s="4">
        <v>0</v>
      </c>
      <c r="P216" s="4">
        <v>0</v>
      </c>
      <c r="Q216" s="4">
        <v>0</v>
      </c>
      <c r="R216" s="4">
        <v>2</v>
      </c>
      <c r="S216" s="4">
        <v>0</v>
      </c>
      <c r="T216" s="2" t="s">
        <v>2</v>
      </c>
      <c r="U216" s="2" t="s">
        <v>1995</v>
      </c>
      <c r="V216" s="2" t="s">
        <v>2</v>
      </c>
      <c r="W216" s="2" t="s">
        <v>2</v>
      </c>
    </row>
    <row r="217" spans="1:23" ht="24" customHeight="1" x14ac:dyDescent="0.3">
      <c r="A217" s="2" t="s">
        <v>784</v>
      </c>
      <c r="B217" s="11"/>
      <c r="C217" s="11"/>
      <c r="D217" s="2" t="s">
        <v>1999</v>
      </c>
      <c r="E217" s="2" t="s">
        <v>2000</v>
      </c>
      <c r="F217" s="2" t="s">
        <v>2001</v>
      </c>
      <c r="G217" s="2" t="s">
        <v>2</v>
      </c>
      <c r="H217" s="2" t="s">
        <v>2</v>
      </c>
      <c r="I217" s="2" t="s">
        <v>27</v>
      </c>
      <c r="J217" s="2" t="s">
        <v>2</v>
      </c>
      <c r="K217" s="3">
        <v>0</v>
      </c>
      <c r="L217" s="3">
        <v>0</v>
      </c>
      <c r="M217" s="3">
        <v>5</v>
      </c>
      <c r="N217" s="3">
        <v>0</v>
      </c>
      <c r="O217" s="4">
        <v>0</v>
      </c>
      <c r="P217" s="4">
        <v>0</v>
      </c>
      <c r="Q217" s="4">
        <v>12</v>
      </c>
      <c r="R217" s="4">
        <v>0</v>
      </c>
      <c r="S217" s="4">
        <v>0</v>
      </c>
      <c r="T217" s="2" t="s">
        <v>2002</v>
      </c>
      <c r="U217" s="2" t="s">
        <v>2003</v>
      </c>
      <c r="V217" s="2" t="s">
        <v>2</v>
      </c>
      <c r="W217" s="2" t="s">
        <v>2</v>
      </c>
    </row>
    <row r="218" spans="1:23" ht="24" customHeight="1" x14ac:dyDescent="0.3">
      <c r="A218" s="2" t="s">
        <v>785</v>
      </c>
      <c r="B218" s="11"/>
      <c r="C218" s="11"/>
      <c r="D218" s="2" t="s">
        <v>2004</v>
      </c>
      <c r="E218" s="2" t="s">
        <v>2005</v>
      </c>
      <c r="F218" s="2" t="s">
        <v>2006</v>
      </c>
      <c r="G218" s="2" t="s">
        <v>2</v>
      </c>
      <c r="H218" s="2" t="s">
        <v>2</v>
      </c>
      <c r="I218" s="2" t="s">
        <v>27</v>
      </c>
      <c r="J218" s="2" t="s">
        <v>2</v>
      </c>
      <c r="K218" s="3">
        <v>0</v>
      </c>
      <c r="L218" s="3">
        <v>0</v>
      </c>
      <c r="M218" s="3">
        <v>3</v>
      </c>
      <c r="N218" s="3">
        <v>0</v>
      </c>
      <c r="O218" s="4">
        <v>0</v>
      </c>
      <c r="P218" s="4">
        <v>0</v>
      </c>
      <c r="Q218" s="4">
        <v>14</v>
      </c>
      <c r="R218" s="4">
        <v>0</v>
      </c>
      <c r="S218" s="4">
        <v>0</v>
      </c>
      <c r="T218" s="2" t="s">
        <v>2</v>
      </c>
      <c r="U218" s="2" t="s">
        <v>2007</v>
      </c>
      <c r="V218" s="2" t="s">
        <v>2</v>
      </c>
      <c r="W218" s="2" t="s">
        <v>2</v>
      </c>
    </row>
    <row r="219" spans="1:23" ht="24" customHeight="1" x14ac:dyDescent="0.3">
      <c r="A219" s="2" t="s">
        <v>786</v>
      </c>
      <c r="B219" s="11"/>
      <c r="C219" s="11"/>
      <c r="D219" s="2" t="s">
        <v>2008</v>
      </c>
      <c r="E219" s="2" t="s">
        <v>2009</v>
      </c>
      <c r="F219" s="2" t="s">
        <v>2010</v>
      </c>
      <c r="G219" s="2" t="s">
        <v>2</v>
      </c>
      <c r="H219" s="2" t="s">
        <v>2</v>
      </c>
      <c r="I219" s="2" t="s">
        <v>2</v>
      </c>
      <c r="J219" s="2" t="s">
        <v>28</v>
      </c>
      <c r="K219" s="3">
        <v>0</v>
      </c>
      <c r="L219" s="3">
        <v>0</v>
      </c>
      <c r="M219" s="3">
        <v>0</v>
      </c>
      <c r="N219" s="3">
        <v>3</v>
      </c>
      <c r="O219" s="4">
        <v>0</v>
      </c>
      <c r="P219" s="4">
        <v>0</v>
      </c>
      <c r="Q219" s="4">
        <v>0</v>
      </c>
      <c r="R219" s="4">
        <v>4</v>
      </c>
      <c r="S219" s="4">
        <v>0</v>
      </c>
      <c r="T219" s="2" t="s">
        <v>2011</v>
      </c>
      <c r="U219" s="2" t="s">
        <v>2012</v>
      </c>
      <c r="V219" s="2" t="s">
        <v>2</v>
      </c>
      <c r="W219" s="2" t="s">
        <v>2</v>
      </c>
    </row>
    <row r="220" spans="1:23" ht="24" customHeight="1" x14ac:dyDescent="0.3">
      <c r="A220" s="2" t="s">
        <v>787</v>
      </c>
      <c r="B220" s="11"/>
      <c r="C220" s="11"/>
      <c r="D220" s="2" t="s">
        <v>2013</v>
      </c>
      <c r="E220" s="2" t="s">
        <v>984</v>
      </c>
      <c r="F220" s="2" t="s">
        <v>2014</v>
      </c>
      <c r="G220" s="2" t="s">
        <v>2</v>
      </c>
      <c r="H220" s="2" t="s">
        <v>2</v>
      </c>
      <c r="I220" s="2" t="s">
        <v>2</v>
      </c>
      <c r="J220" s="2" t="s">
        <v>28</v>
      </c>
      <c r="K220" s="3">
        <v>0</v>
      </c>
      <c r="L220" s="3">
        <v>0</v>
      </c>
      <c r="M220" s="3">
        <v>0</v>
      </c>
      <c r="N220" s="3">
        <v>2</v>
      </c>
      <c r="O220" s="4">
        <v>0</v>
      </c>
      <c r="P220" s="4">
        <v>0</v>
      </c>
      <c r="Q220" s="4">
        <v>0</v>
      </c>
      <c r="R220" s="4">
        <v>10.199999999999999</v>
      </c>
      <c r="S220" s="4">
        <v>634.1</v>
      </c>
      <c r="T220" s="2" t="s">
        <v>2</v>
      </c>
      <c r="U220" s="2" t="s">
        <v>2015</v>
      </c>
      <c r="V220" s="2" t="s">
        <v>2</v>
      </c>
      <c r="W220" s="2" t="s">
        <v>2</v>
      </c>
    </row>
    <row r="221" spans="1:23" ht="24" customHeight="1" x14ac:dyDescent="0.3">
      <c r="A221" s="2" t="s">
        <v>788</v>
      </c>
      <c r="B221" s="11"/>
      <c r="C221" s="11"/>
      <c r="D221" s="2" t="s">
        <v>2016</v>
      </c>
      <c r="E221" s="2" t="s">
        <v>2017</v>
      </c>
      <c r="F221" s="2" t="s">
        <v>2018</v>
      </c>
      <c r="G221" s="2" t="s">
        <v>2</v>
      </c>
      <c r="H221" s="2" t="s">
        <v>2</v>
      </c>
      <c r="I221" s="2" t="s">
        <v>27</v>
      </c>
      <c r="J221" s="2" t="s">
        <v>2</v>
      </c>
      <c r="K221" s="3">
        <v>0</v>
      </c>
      <c r="L221" s="3">
        <v>0</v>
      </c>
      <c r="M221" s="3">
        <v>4</v>
      </c>
      <c r="N221" s="3">
        <v>0</v>
      </c>
      <c r="O221" s="4">
        <v>0</v>
      </c>
      <c r="P221" s="4">
        <v>0</v>
      </c>
      <c r="Q221" s="4">
        <v>10</v>
      </c>
      <c r="R221" s="4">
        <v>0</v>
      </c>
      <c r="S221" s="4">
        <v>1008.7</v>
      </c>
      <c r="T221" s="2" t="s">
        <v>2</v>
      </c>
      <c r="U221" s="2" t="s">
        <v>2019</v>
      </c>
      <c r="V221" s="2" t="s">
        <v>2</v>
      </c>
      <c r="W221" s="2" t="s">
        <v>2</v>
      </c>
    </row>
    <row r="222" spans="1:23" ht="24" customHeight="1" x14ac:dyDescent="0.3">
      <c r="A222" s="2" t="s">
        <v>789</v>
      </c>
      <c r="B222" s="11"/>
      <c r="C222" s="11"/>
      <c r="D222" s="2" t="s">
        <v>2020</v>
      </c>
      <c r="E222" s="2" t="s">
        <v>2021</v>
      </c>
      <c r="F222" s="2" t="s">
        <v>2022</v>
      </c>
      <c r="G222" s="2" t="s">
        <v>2</v>
      </c>
      <c r="H222" s="2" t="s">
        <v>2</v>
      </c>
      <c r="I222" s="2" t="s">
        <v>27</v>
      </c>
      <c r="J222" s="2" t="s">
        <v>2</v>
      </c>
      <c r="K222" s="3">
        <v>0</v>
      </c>
      <c r="L222" s="3">
        <v>0</v>
      </c>
      <c r="M222" s="3">
        <v>4</v>
      </c>
      <c r="N222" s="3">
        <v>0</v>
      </c>
      <c r="O222" s="4">
        <v>0</v>
      </c>
      <c r="P222" s="4">
        <v>0</v>
      </c>
      <c r="Q222" s="4">
        <v>10</v>
      </c>
      <c r="R222" s="4">
        <v>0</v>
      </c>
      <c r="S222" s="4">
        <v>0</v>
      </c>
      <c r="T222" s="2" t="s">
        <v>2023</v>
      </c>
      <c r="U222" s="2" t="s">
        <v>2024</v>
      </c>
      <c r="V222" s="2" t="s">
        <v>2</v>
      </c>
      <c r="W222" s="2" t="s">
        <v>1867</v>
      </c>
    </row>
    <row r="223" spans="1:23" ht="24" customHeight="1" x14ac:dyDescent="0.3">
      <c r="A223" s="2" t="s">
        <v>790</v>
      </c>
      <c r="B223" s="11"/>
      <c r="C223" s="11"/>
      <c r="D223" s="2" t="s">
        <v>2025</v>
      </c>
      <c r="E223" s="2" t="s">
        <v>2026</v>
      </c>
      <c r="F223" s="2" t="s">
        <v>2027</v>
      </c>
      <c r="G223" s="2" t="s">
        <v>2</v>
      </c>
      <c r="H223" s="2" t="s">
        <v>2</v>
      </c>
      <c r="I223" s="2" t="s">
        <v>27</v>
      </c>
      <c r="J223" s="2" t="s">
        <v>2</v>
      </c>
      <c r="K223" s="3">
        <v>0</v>
      </c>
      <c r="L223" s="3">
        <v>0</v>
      </c>
      <c r="M223" s="3">
        <v>4</v>
      </c>
      <c r="N223" s="3">
        <v>0</v>
      </c>
      <c r="O223" s="4">
        <v>0</v>
      </c>
      <c r="P223" s="4">
        <v>0</v>
      </c>
      <c r="Q223" s="4">
        <v>25</v>
      </c>
      <c r="R223" s="4">
        <v>0</v>
      </c>
      <c r="S223" s="4">
        <v>0</v>
      </c>
      <c r="T223" s="2" t="s">
        <v>2</v>
      </c>
      <c r="U223" s="2" t="s">
        <v>2028</v>
      </c>
      <c r="V223" s="2" t="s">
        <v>1086</v>
      </c>
      <c r="W223" s="2" t="s">
        <v>2</v>
      </c>
    </row>
    <row r="224" spans="1:23" ht="24" customHeight="1" x14ac:dyDescent="0.3">
      <c r="A224" s="2" t="s">
        <v>593</v>
      </c>
      <c r="B224" s="11"/>
      <c r="C224" s="11"/>
      <c r="D224" s="2" t="s">
        <v>2029</v>
      </c>
      <c r="E224" s="2" t="s">
        <v>2030</v>
      </c>
      <c r="F224" s="2" t="s">
        <v>2031</v>
      </c>
      <c r="G224" s="2" t="s">
        <v>2</v>
      </c>
      <c r="H224" s="2" t="s">
        <v>2</v>
      </c>
      <c r="I224" s="2" t="s">
        <v>27</v>
      </c>
      <c r="J224" s="2" t="s">
        <v>2</v>
      </c>
      <c r="K224" s="3">
        <v>0</v>
      </c>
      <c r="L224" s="3">
        <v>0</v>
      </c>
      <c r="M224" s="3">
        <v>5</v>
      </c>
      <c r="N224" s="3">
        <v>0</v>
      </c>
      <c r="O224" s="4">
        <v>0</v>
      </c>
      <c r="P224" s="4">
        <v>0</v>
      </c>
      <c r="Q224" s="4">
        <v>90</v>
      </c>
      <c r="R224" s="4">
        <v>0</v>
      </c>
      <c r="S224" s="4">
        <v>3571.2</v>
      </c>
      <c r="T224" s="2" t="s">
        <v>2032</v>
      </c>
      <c r="U224" s="2" t="s">
        <v>560</v>
      </c>
      <c r="V224" s="2" t="s">
        <v>2</v>
      </c>
      <c r="W224" s="2" t="s">
        <v>2</v>
      </c>
    </row>
    <row r="225" spans="1:23" ht="24" customHeight="1" x14ac:dyDescent="0.3">
      <c r="A225" s="2" t="s">
        <v>791</v>
      </c>
      <c r="B225" s="11"/>
      <c r="C225" s="11"/>
      <c r="D225" s="2" t="s">
        <v>2033</v>
      </c>
      <c r="E225" s="2" t="s">
        <v>2034</v>
      </c>
      <c r="F225" s="2" t="s">
        <v>2035</v>
      </c>
      <c r="G225" s="2" t="s">
        <v>2</v>
      </c>
      <c r="H225" s="2" t="s">
        <v>2</v>
      </c>
      <c r="I225" s="2" t="s">
        <v>27</v>
      </c>
      <c r="J225" s="2" t="s">
        <v>2</v>
      </c>
      <c r="K225" s="3">
        <v>0</v>
      </c>
      <c r="L225" s="3">
        <v>0</v>
      </c>
      <c r="M225" s="3">
        <v>4</v>
      </c>
      <c r="N225" s="3">
        <v>0</v>
      </c>
      <c r="O225" s="4">
        <v>0</v>
      </c>
      <c r="P225" s="4">
        <v>0</v>
      </c>
      <c r="Q225" s="4">
        <v>30</v>
      </c>
      <c r="R225" s="4">
        <v>0</v>
      </c>
      <c r="S225" s="4">
        <v>30.2</v>
      </c>
      <c r="T225" s="2" t="s">
        <v>2</v>
      </c>
      <c r="U225" s="2" t="s">
        <v>440</v>
      </c>
      <c r="V225" s="2" t="s">
        <v>2</v>
      </c>
      <c r="W225" s="2" t="s">
        <v>2</v>
      </c>
    </row>
    <row r="226" spans="1:23" ht="24" customHeight="1" x14ac:dyDescent="0.3">
      <c r="A226" s="2" t="s">
        <v>793</v>
      </c>
      <c r="B226" s="11"/>
      <c r="C226" s="11"/>
      <c r="D226" s="2" t="s">
        <v>2036</v>
      </c>
      <c r="E226" s="2" t="s">
        <v>2037</v>
      </c>
      <c r="F226" s="2" t="s">
        <v>2038</v>
      </c>
      <c r="G226" s="2" t="s">
        <v>2</v>
      </c>
      <c r="H226" s="2" t="s">
        <v>2</v>
      </c>
      <c r="I226" s="2" t="s">
        <v>2</v>
      </c>
      <c r="J226" s="2" t="s">
        <v>28</v>
      </c>
      <c r="K226" s="3">
        <v>0</v>
      </c>
      <c r="L226" s="3">
        <v>0</v>
      </c>
      <c r="M226" s="3">
        <v>0</v>
      </c>
      <c r="N226" s="3">
        <v>2</v>
      </c>
      <c r="O226" s="4">
        <v>0</v>
      </c>
      <c r="P226" s="4">
        <v>0</v>
      </c>
      <c r="Q226" s="4">
        <v>0</v>
      </c>
      <c r="R226" s="4">
        <v>8</v>
      </c>
      <c r="S226" s="4">
        <v>0</v>
      </c>
      <c r="T226" s="2" t="s">
        <v>2</v>
      </c>
      <c r="U226" s="2" t="s">
        <v>2039</v>
      </c>
      <c r="V226" s="2" t="s">
        <v>2</v>
      </c>
      <c r="W226" s="2" t="s">
        <v>1921</v>
      </c>
    </row>
    <row r="227" spans="1:23" ht="24" customHeight="1" x14ac:dyDescent="0.3">
      <c r="A227" s="2" t="s">
        <v>794</v>
      </c>
      <c r="B227" s="11"/>
      <c r="C227" s="11"/>
      <c r="D227" s="2" t="s">
        <v>2040</v>
      </c>
      <c r="E227" s="2" t="s">
        <v>2041</v>
      </c>
      <c r="F227" s="2" t="s">
        <v>2042</v>
      </c>
      <c r="G227" s="2" t="s">
        <v>2</v>
      </c>
      <c r="H227" s="2" t="s">
        <v>2</v>
      </c>
      <c r="I227" s="2" t="s">
        <v>27</v>
      </c>
      <c r="J227" s="2" t="s">
        <v>2</v>
      </c>
      <c r="K227" s="3">
        <v>0</v>
      </c>
      <c r="L227" s="3">
        <v>0</v>
      </c>
      <c r="M227" s="3">
        <v>4</v>
      </c>
      <c r="N227" s="3">
        <v>0</v>
      </c>
      <c r="O227" s="4">
        <v>0</v>
      </c>
      <c r="P227" s="4">
        <v>0</v>
      </c>
      <c r="Q227" s="4">
        <v>15</v>
      </c>
      <c r="R227" s="4">
        <v>0</v>
      </c>
      <c r="S227" s="4">
        <v>0</v>
      </c>
      <c r="T227" s="2" t="s">
        <v>2</v>
      </c>
      <c r="U227" s="2" t="s">
        <v>987</v>
      </c>
      <c r="V227" s="2" t="s">
        <v>2</v>
      </c>
      <c r="W227" s="2" t="s">
        <v>2</v>
      </c>
    </row>
    <row r="228" spans="1:23" ht="24" customHeight="1" x14ac:dyDescent="0.3">
      <c r="A228" s="2" t="s">
        <v>795</v>
      </c>
      <c r="B228" s="11"/>
      <c r="C228" s="11"/>
      <c r="D228" s="2" t="s">
        <v>2043</v>
      </c>
      <c r="E228" s="2" t="s">
        <v>2044</v>
      </c>
      <c r="F228" s="2" t="s">
        <v>2045</v>
      </c>
      <c r="G228" s="2" t="s">
        <v>2</v>
      </c>
      <c r="H228" s="2" t="s">
        <v>2</v>
      </c>
      <c r="I228" s="2" t="s">
        <v>2</v>
      </c>
      <c r="J228" s="2" t="s">
        <v>28</v>
      </c>
      <c r="K228" s="3">
        <v>0</v>
      </c>
      <c r="L228" s="3">
        <v>0</v>
      </c>
      <c r="M228" s="3">
        <v>0</v>
      </c>
      <c r="N228" s="3">
        <v>2</v>
      </c>
      <c r="O228" s="4">
        <v>0</v>
      </c>
      <c r="P228" s="4">
        <v>0</v>
      </c>
      <c r="Q228" s="4">
        <v>0</v>
      </c>
      <c r="R228" s="4">
        <v>20</v>
      </c>
      <c r="S228" s="4">
        <v>26.3</v>
      </c>
      <c r="T228" s="2" t="s">
        <v>2</v>
      </c>
      <c r="U228" s="2" t="s">
        <v>2046</v>
      </c>
      <c r="V228" s="2" t="s">
        <v>2</v>
      </c>
      <c r="W228" s="2" t="s">
        <v>2</v>
      </c>
    </row>
    <row r="229" spans="1:23" ht="24" customHeight="1" x14ac:dyDescent="0.3">
      <c r="A229" s="2" t="s">
        <v>796</v>
      </c>
      <c r="B229" s="11"/>
      <c r="C229" s="11"/>
      <c r="D229" s="2" t="s">
        <v>2047</v>
      </c>
      <c r="E229" s="2" t="s">
        <v>2048</v>
      </c>
      <c r="F229" s="2" t="s">
        <v>2049</v>
      </c>
      <c r="G229" s="2" t="s">
        <v>2</v>
      </c>
      <c r="H229" s="2" t="s">
        <v>2</v>
      </c>
      <c r="I229" s="2" t="s">
        <v>2</v>
      </c>
      <c r="J229" s="2" t="s">
        <v>28</v>
      </c>
      <c r="K229" s="3">
        <v>0</v>
      </c>
      <c r="L229" s="3">
        <v>0</v>
      </c>
      <c r="M229" s="3">
        <v>0</v>
      </c>
      <c r="N229" s="3">
        <v>2</v>
      </c>
      <c r="O229" s="4">
        <v>0</v>
      </c>
      <c r="P229" s="4">
        <v>0</v>
      </c>
      <c r="Q229" s="4">
        <v>0</v>
      </c>
      <c r="R229" s="4">
        <v>2</v>
      </c>
      <c r="S229" s="4">
        <v>13500.3</v>
      </c>
      <c r="T229" s="2" t="s">
        <v>2050</v>
      </c>
      <c r="U229" s="2" t="s">
        <v>979</v>
      </c>
      <c r="V229" s="2" t="s">
        <v>2</v>
      </c>
      <c r="W229" s="2" t="s">
        <v>2</v>
      </c>
    </row>
    <row r="230" spans="1:23" ht="24" customHeight="1" x14ac:dyDescent="0.3">
      <c r="A230" s="2" t="s">
        <v>796</v>
      </c>
      <c r="B230" s="11"/>
      <c r="C230" s="11"/>
      <c r="D230" s="2" t="s">
        <v>2047</v>
      </c>
      <c r="E230" s="2" t="s">
        <v>2048</v>
      </c>
      <c r="F230" s="2" t="s">
        <v>2049</v>
      </c>
      <c r="G230" s="2" t="s">
        <v>2</v>
      </c>
      <c r="H230" s="2" t="s">
        <v>2</v>
      </c>
      <c r="I230" s="2" t="s">
        <v>27</v>
      </c>
      <c r="J230" s="2" t="s">
        <v>2</v>
      </c>
      <c r="K230" s="3">
        <v>0</v>
      </c>
      <c r="L230" s="3">
        <v>0</v>
      </c>
      <c r="M230" s="3">
        <v>4</v>
      </c>
      <c r="N230" s="3">
        <v>0</v>
      </c>
      <c r="O230" s="4">
        <v>0</v>
      </c>
      <c r="P230" s="4">
        <v>0</v>
      </c>
      <c r="Q230" s="4">
        <v>7</v>
      </c>
      <c r="R230" s="4">
        <v>0</v>
      </c>
      <c r="S230" s="4">
        <v>13500.3</v>
      </c>
      <c r="T230" s="2" t="s">
        <v>2050</v>
      </c>
      <c r="U230" s="2" t="s">
        <v>567</v>
      </c>
      <c r="V230" s="2" t="s">
        <v>2</v>
      </c>
      <c r="W230" s="2" t="s">
        <v>2</v>
      </c>
    </row>
    <row r="231" spans="1:23" ht="24" customHeight="1" x14ac:dyDescent="0.3">
      <c r="A231" s="2" t="s">
        <v>797</v>
      </c>
      <c r="B231" s="11"/>
      <c r="C231" s="11"/>
      <c r="D231" s="2" t="s">
        <v>2051</v>
      </c>
      <c r="E231" s="2" t="s">
        <v>518</v>
      </c>
      <c r="F231" s="2" t="s">
        <v>2052</v>
      </c>
      <c r="G231" s="2" t="s">
        <v>2</v>
      </c>
      <c r="H231" s="2" t="s">
        <v>2</v>
      </c>
      <c r="I231" s="2" t="s">
        <v>2</v>
      </c>
      <c r="J231" s="2" t="s">
        <v>28</v>
      </c>
      <c r="K231" s="3">
        <v>0</v>
      </c>
      <c r="L231" s="3">
        <v>0</v>
      </c>
      <c r="M231" s="3">
        <v>0</v>
      </c>
      <c r="N231" s="3">
        <v>4</v>
      </c>
      <c r="O231" s="4">
        <v>0</v>
      </c>
      <c r="P231" s="4">
        <v>0</v>
      </c>
      <c r="Q231" s="4">
        <v>0</v>
      </c>
      <c r="R231" s="4">
        <v>5</v>
      </c>
      <c r="S231" s="4">
        <v>0</v>
      </c>
      <c r="T231" s="2" t="s">
        <v>2053</v>
      </c>
      <c r="U231" s="2" t="s">
        <v>2054</v>
      </c>
      <c r="V231" s="2" t="s">
        <v>2</v>
      </c>
      <c r="W231" s="2" t="s">
        <v>980</v>
      </c>
    </row>
    <row r="232" spans="1:23" ht="24" customHeight="1" x14ac:dyDescent="0.3">
      <c r="A232" s="2" t="s">
        <v>798</v>
      </c>
      <c r="B232" s="11"/>
      <c r="C232" s="11"/>
      <c r="D232" s="2" t="s">
        <v>2055</v>
      </c>
      <c r="E232" s="2" t="s">
        <v>2056</v>
      </c>
      <c r="F232" s="2" t="s">
        <v>2057</v>
      </c>
      <c r="G232" s="2" t="s">
        <v>2</v>
      </c>
      <c r="H232" s="2" t="s">
        <v>2</v>
      </c>
      <c r="I232" s="2" t="s">
        <v>27</v>
      </c>
      <c r="J232" s="2" t="s">
        <v>2</v>
      </c>
      <c r="K232" s="3">
        <v>0</v>
      </c>
      <c r="L232" s="3">
        <v>0</v>
      </c>
      <c r="M232" s="3">
        <v>3</v>
      </c>
      <c r="N232" s="3">
        <v>0</v>
      </c>
      <c r="O232" s="4">
        <v>0</v>
      </c>
      <c r="P232" s="4">
        <v>0</v>
      </c>
      <c r="Q232" s="4">
        <v>18</v>
      </c>
      <c r="R232" s="4">
        <v>0</v>
      </c>
      <c r="S232" s="4">
        <v>408.5</v>
      </c>
      <c r="T232" s="2" t="s">
        <v>2058</v>
      </c>
      <c r="U232" s="2" t="s">
        <v>2059</v>
      </c>
      <c r="V232" s="2" t="s">
        <v>2</v>
      </c>
      <c r="W232" s="2" t="s">
        <v>2</v>
      </c>
    </row>
    <row r="233" spans="1:23" ht="24" customHeight="1" x14ac:dyDescent="0.3">
      <c r="A233" s="2" t="s">
        <v>799</v>
      </c>
      <c r="B233" s="11"/>
      <c r="C233" s="11"/>
      <c r="D233" s="2" t="s">
        <v>2060</v>
      </c>
      <c r="E233" s="2" t="s">
        <v>2061</v>
      </c>
      <c r="F233" s="2" t="s">
        <v>2062</v>
      </c>
      <c r="G233" s="2" t="s">
        <v>2</v>
      </c>
      <c r="H233" s="2" t="s">
        <v>2</v>
      </c>
      <c r="I233" s="2" t="s">
        <v>27</v>
      </c>
      <c r="J233" s="2" t="s">
        <v>2</v>
      </c>
      <c r="K233" s="3">
        <v>0</v>
      </c>
      <c r="L233" s="3">
        <v>0</v>
      </c>
      <c r="M233" s="3">
        <v>3</v>
      </c>
      <c r="N233" s="3">
        <v>0</v>
      </c>
      <c r="O233" s="4">
        <v>0</v>
      </c>
      <c r="P233" s="4">
        <v>0</v>
      </c>
      <c r="Q233" s="4">
        <v>15</v>
      </c>
      <c r="R233" s="4">
        <v>0</v>
      </c>
      <c r="S233" s="4">
        <v>0</v>
      </c>
      <c r="T233" s="2" t="s">
        <v>2063</v>
      </c>
      <c r="U233" s="2" t="s">
        <v>1048</v>
      </c>
      <c r="V233" s="2" t="s">
        <v>2</v>
      </c>
      <c r="W233" s="2" t="s">
        <v>2</v>
      </c>
    </row>
    <row r="234" spans="1:23" ht="24" customHeight="1" x14ac:dyDescent="0.3">
      <c r="A234" s="2" t="s">
        <v>801</v>
      </c>
      <c r="B234" s="11"/>
      <c r="C234" s="11"/>
      <c r="D234" s="2" t="s">
        <v>2064</v>
      </c>
      <c r="E234" s="2" t="s">
        <v>2065</v>
      </c>
      <c r="F234" s="2" t="s">
        <v>2066</v>
      </c>
      <c r="G234" s="2" t="s">
        <v>2</v>
      </c>
      <c r="H234" s="2" t="s">
        <v>2</v>
      </c>
      <c r="I234" s="2" t="s">
        <v>27</v>
      </c>
      <c r="J234" s="2" t="s">
        <v>2</v>
      </c>
      <c r="K234" s="3">
        <v>0</v>
      </c>
      <c r="L234" s="3">
        <v>0</v>
      </c>
      <c r="M234" s="3">
        <v>5</v>
      </c>
      <c r="N234" s="3">
        <v>0</v>
      </c>
      <c r="O234" s="4">
        <v>0</v>
      </c>
      <c r="P234" s="4">
        <v>0</v>
      </c>
      <c r="Q234" s="4">
        <v>5.9</v>
      </c>
      <c r="R234" s="4">
        <v>0</v>
      </c>
      <c r="S234" s="4">
        <v>0</v>
      </c>
      <c r="T234" s="2" t="s">
        <v>2067</v>
      </c>
      <c r="U234" s="2" t="s">
        <v>2068</v>
      </c>
      <c r="V234" s="2" t="s">
        <v>2</v>
      </c>
      <c r="W234" s="2" t="s">
        <v>2</v>
      </c>
    </row>
    <row r="235" spans="1:23" ht="24" customHeight="1" x14ac:dyDescent="0.3">
      <c r="A235" s="2" t="s">
        <v>802</v>
      </c>
      <c r="B235" s="11"/>
      <c r="C235" s="11"/>
      <c r="D235" s="2" t="s">
        <v>2069</v>
      </c>
      <c r="E235" s="2" t="s">
        <v>2070</v>
      </c>
      <c r="F235" s="2" t="s">
        <v>2071</v>
      </c>
      <c r="G235" s="2" t="s">
        <v>2</v>
      </c>
      <c r="H235" s="2" t="s">
        <v>2</v>
      </c>
      <c r="I235" s="2" t="s">
        <v>27</v>
      </c>
      <c r="J235" s="2" t="s">
        <v>2</v>
      </c>
      <c r="K235" s="3">
        <v>0</v>
      </c>
      <c r="L235" s="3">
        <v>0</v>
      </c>
      <c r="M235" s="3">
        <v>4</v>
      </c>
      <c r="N235" s="3">
        <v>0</v>
      </c>
      <c r="O235" s="4">
        <v>0</v>
      </c>
      <c r="P235" s="4">
        <v>0</v>
      </c>
      <c r="Q235" s="4">
        <v>6</v>
      </c>
      <c r="R235" s="4">
        <v>0</v>
      </c>
      <c r="S235" s="4">
        <v>0</v>
      </c>
      <c r="T235" s="2" t="s">
        <v>2072</v>
      </c>
      <c r="U235" s="2" t="s">
        <v>2073</v>
      </c>
      <c r="V235" s="2" t="s">
        <v>2</v>
      </c>
      <c r="W235" s="2" t="s">
        <v>2</v>
      </c>
    </row>
    <row r="236" spans="1:23" ht="24" customHeight="1" x14ac:dyDescent="0.3">
      <c r="A236" s="2" t="s">
        <v>804</v>
      </c>
      <c r="B236" s="11"/>
      <c r="C236" s="11"/>
      <c r="D236" s="2" t="s">
        <v>2074</v>
      </c>
      <c r="E236" s="2" t="s">
        <v>2075</v>
      </c>
      <c r="F236" s="2" t="s">
        <v>2076</v>
      </c>
      <c r="G236" s="2" t="s">
        <v>2</v>
      </c>
      <c r="H236" s="2" t="s">
        <v>2</v>
      </c>
      <c r="I236" s="2" t="s">
        <v>2</v>
      </c>
      <c r="J236" s="2" t="s">
        <v>28</v>
      </c>
      <c r="K236" s="3">
        <v>0</v>
      </c>
      <c r="L236" s="3">
        <v>0</v>
      </c>
      <c r="M236" s="3">
        <v>0</v>
      </c>
      <c r="N236" s="3">
        <v>3</v>
      </c>
      <c r="O236" s="4">
        <v>0</v>
      </c>
      <c r="P236" s="4">
        <v>0</v>
      </c>
      <c r="Q236" s="4">
        <v>0</v>
      </c>
      <c r="R236" s="4">
        <v>15</v>
      </c>
      <c r="S236" s="4">
        <v>0</v>
      </c>
      <c r="T236" s="2" t="s">
        <v>2</v>
      </c>
      <c r="U236" s="2" t="s">
        <v>2077</v>
      </c>
      <c r="V236" s="2" t="s">
        <v>2</v>
      </c>
      <c r="W236" s="2" t="s">
        <v>2</v>
      </c>
    </row>
    <row r="237" spans="1:23" ht="24" customHeight="1" x14ac:dyDescent="0.3">
      <c r="A237" s="2" t="s">
        <v>806</v>
      </c>
      <c r="B237" s="11"/>
      <c r="C237" s="11"/>
      <c r="D237" s="2" t="s">
        <v>2078</v>
      </c>
      <c r="E237" s="2" t="s">
        <v>896</v>
      </c>
      <c r="F237" s="2" t="s">
        <v>2079</v>
      </c>
      <c r="G237" s="2" t="s">
        <v>2</v>
      </c>
      <c r="H237" s="2" t="s">
        <v>2</v>
      </c>
      <c r="I237" s="2" t="s">
        <v>2</v>
      </c>
      <c r="J237" s="2" t="s">
        <v>28</v>
      </c>
      <c r="K237" s="3">
        <v>0</v>
      </c>
      <c r="L237" s="3">
        <v>0</v>
      </c>
      <c r="M237" s="3">
        <v>0</v>
      </c>
      <c r="N237" s="3">
        <v>2</v>
      </c>
      <c r="O237" s="4">
        <v>0</v>
      </c>
      <c r="P237" s="4">
        <v>0</v>
      </c>
      <c r="Q237" s="4">
        <v>0</v>
      </c>
      <c r="R237" s="4">
        <v>10</v>
      </c>
      <c r="S237" s="4">
        <v>0</v>
      </c>
      <c r="T237" s="2" t="s">
        <v>2080</v>
      </c>
      <c r="U237" s="2" t="s">
        <v>1070</v>
      </c>
      <c r="V237" s="2" t="s">
        <v>2</v>
      </c>
      <c r="W237" s="2" t="s">
        <v>2</v>
      </c>
    </row>
    <row r="238" spans="1:23" ht="24" customHeight="1" x14ac:dyDescent="0.3">
      <c r="A238" s="2" t="s">
        <v>807</v>
      </c>
      <c r="B238" s="11"/>
      <c r="C238" s="11"/>
      <c r="D238" s="2" t="s">
        <v>2081</v>
      </c>
      <c r="E238" s="2" t="s">
        <v>2082</v>
      </c>
      <c r="F238" s="2" t="s">
        <v>2083</v>
      </c>
      <c r="G238" s="2" t="s">
        <v>2</v>
      </c>
      <c r="H238" s="2" t="s">
        <v>2</v>
      </c>
      <c r="I238" s="2" t="s">
        <v>27</v>
      </c>
      <c r="J238" s="2" t="s">
        <v>2</v>
      </c>
      <c r="K238" s="3">
        <v>0</v>
      </c>
      <c r="L238" s="3">
        <v>0</v>
      </c>
      <c r="M238" s="3">
        <v>4</v>
      </c>
      <c r="N238" s="3">
        <v>0</v>
      </c>
      <c r="O238" s="4">
        <v>0</v>
      </c>
      <c r="P238" s="4">
        <v>0</v>
      </c>
      <c r="Q238" s="4">
        <v>5</v>
      </c>
      <c r="R238" s="4">
        <v>0</v>
      </c>
      <c r="S238" s="4">
        <v>0</v>
      </c>
      <c r="T238" s="2" t="s">
        <v>2084</v>
      </c>
      <c r="U238" s="2" t="s">
        <v>2085</v>
      </c>
      <c r="V238" s="2" t="s">
        <v>1086</v>
      </c>
      <c r="W238" s="2" t="s">
        <v>2</v>
      </c>
    </row>
    <row r="239" spans="1:23" ht="24" customHeight="1" x14ac:dyDescent="0.3">
      <c r="A239" s="2" t="s">
        <v>808</v>
      </c>
      <c r="B239" s="11"/>
      <c r="C239" s="11"/>
      <c r="D239" s="2" t="s">
        <v>2086</v>
      </c>
      <c r="E239" s="2" t="s">
        <v>2087</v>
      </c>
      <c r="F239" s="2" t="s">
        <v>2088</v>
      </c>
      <c r="G239" s="2" t="s">
        <v>2</v>
      </c>
      <c r="H239" s="2" t="s">
        <v>2</v>
      </c>
      <c r="I239" s="2" t="s">
        <v>27</v>
      </c>
      <c r="J239" s="2" t="s">
        <v>2</v>
      </c>
      <c r="K239" s="3">
        <v>0</v>
      </c>
      <c r="L239" s="3">
        <v>0</v>
      </c>
      <c r="M239" s="3">
        <v>3</v>
      </c>
      <c r="N239" s="3">
        <v>0</v>
      </c>
      <c r="O239" s="4">
        <v>0</v>
      </c>
      <c r="P239" s="4">
        <v>0</v>
      </c>
      <c r="Q239" s="4">
        <v>8</v>
      </c>
      <c r="R239" s="4">
        <v>0</v>
      </c>
      <c r="S239" s="4">
        <v>775.8</v>
      </c>
      <c r="T239" s="2" t="s">
        <v>2089</v>
      </c>
      <c r="U239" s="2" t="s">
        <v>1068</v>
      </c>
      <c r="V239" s="2" t="s">
        <v>2</v>
      </c>
      <c r="W239" s="2" t="s">
        <v>2</v>
      </c>
    </row>
    <row r="240" spans="1:23" ht="24" customHeight="1" x14ac:dyDescent="0.3">
      <c r="A240" s="2" t="s">
        <v>809</v>
      </c>
      <c r="B240" s="11"/>
      <c r="C240" s="11"/>
      <c r="D240" s="2" t="s">
        <v>2090</v>
      </c>
      <c r="E240" s="2" t="s">
        <v>2091</v>
      </c>
      <c r="F240" s="2" t="s">
        <v>2092</v>
      </c>
      <c r="G240" s="2" t="s">
        <v>2</v>
      </c>
      <c r="H240" s="2" t="s">
        <v>2</v>
      </c>
      <c r="I240" s="2" t="s">
        <v>2</v>
      </c>
      <c r="J240" s="2" t="s">
        <v>28</v>
      </c>
      <c r="K240" s="3">
        <v>0</v>
      </c>
      <c r="L240" s="3">
        <v>0</v>
      </c>
      <c r="M240" s="3">
        <v>0</v>
      </c>
      <c r="N240" s="3">
        <v>3</v>
      </c>
      <c r="O240" s="4">
        <v>0</v>
      </c>
      <c r="P240" s="4">
        <v>0</v>
      </c>
      <c r="Q240" s="4">
        <v>0</v>
      </c>
      <c r="R240" s="4">
        <v>76.5</v>
      </c>
      <c r="S240" s="4">
        <v>0</v>
      </c>
      <c r="T240" s="2" t="s">
        <v>2</v>
      </c>
      <c r="U240" s="2" t="s">
        <v>2093</v>
      </c>
      <c r="V240" s="2" t="s">
        <v>2</v>
      </c>
      <c r="W240" s="2" t="s">
        <v>510</v>
      </c>
    </row>
    <row r="241" spans="1:23" ht="24" customHeight="1" x14ac:dyDescent="0.3">
      <c r="A241" s="2" t="s">
        <v>368</v>
      </c>
      <c r="B241" s="11"/>
      <c r="C241" s="11"/>
      <c r="D241" s="2" t="s">
        <v>2094</v>
      </c>
      <c r="E241" s="2" t="s">
        <v>2095</v>
      </c>
      <c r="F241" s="2" t="s">
        <v>2096</v>
      </c>
      <c r="G241" s="2" t="s">
        <v>2</v>
      </c>
      <c r="H241" s="2" t="s">
        <v>2</v>
      </c>
      <c r="I241" s="2" t="s">
        <v>2</v>
      </c>
      <c r="J241" s="2" t="s">
        <v>28</v>
      </c>
      <c r="K241" s="3">
        <v>0</v>
      </c>
      <c r="L241" s="3">
        <v>0</v>
      </c>
      <c r="M241" s="3">
        <v>0</v>
      </c>
      <c r="N241" s="3">
        <v>3</v>
      </c>
      <c r="O241" s="4">
        <v>0</v>
      </c>
      <c r="P241" s="4">
        <v>0</v>
      </c>
      <c r="Q241" s="4">
        <v>0</v>
      </c>
      <c r="R241" s="4">
        <v>5</v>
      </c>
      <c r="S241" s="4">
        <v>1595.7</v>
      </c>
      <c r="T241" s="2" t="s">
        <v>2097</v>
      </c>
      <c r="U241" s="2" t="s">
        <v>2098</v>
      </c>
      <c r="V241" s="2" t="s">
        <v>2</v>
      </c>
      <c r="W241" s="2" t="s">
        <v>2</v>
      </c>
    </row>
    <row r="242" spans="1:23" ht="24" customHeight="1" x14ac:dyDescent="0.3">
      <c r="A242" s="2" t="s">
        <v>810</v>
      </c>
      <c r="B242" s="11"/>
      <c r="C242" s="11"/>
      <c r="D242" s="2" t="s">
        <v>2099</v>
      </c>
      <c r="E242" s="2" t="s">
        <v>2100</v>
      </c>
      <c r="F242" s="2" t="s">
        <v>2101</v>
      </c>
      <c r="G242" s="2" t="s">
        <v>2</v>
      </c>
      <c r="H242" s="2" t="s">
        <v>2</v>
      </c>
      <c r="I242" s="2" t="s">
        <v>27</v>
      </c>
      <c r="J242" s="2" t="s">
        <v>2</v>
      </c>
      <c r="K242" s="3">
        <v>0</v>
      </c>
      <c r="L242" s="3">
        <v>0</v>
      </c>
      <c r="M242" s="3">
        <v>3</v>
      </c>
      <c r="N242" s="3">
        <v>0</v>
      </c>
      <c r="O242" s="4">
        <v>0</v>
      </c>
      <c r="P242" s="4">
        <v>0</v>
      </c>
      <c r="Q242" s="4">
        <v>15</v>
      </c>
      <c r="R242" s="4">
        <v>0</v>
      </c>
      <c r="S242" s="4">
        <v>2526</v>
      </c>
      <c r="T242" s="2" t="s">
        <v>2102</v>
      </c>
      <c r="U242" s="2" t="s">
        <v>2103</v>
      </c>
      <c r="V242" s="2" t="s">
        <v>2</v>
      </c>
      <c r="W242" s="2" t="s">
        <v>2</v>
      </c>
    </row>
    <row r="243" spans="1:23" ht="24" customHeight="1" x14ac:dyDescent="0.3">
      <c r="A243" s="2" t="s">
        <v>811</v>
      </c>
      <c r="B243" s="11"/>
      <c r="C243" s="11"/>
      <c r="D243" s="2" t="s">
        <v>2104</v>
      </c>
      <c r="E243" s="2" t="s">
        <v>2100</v>
      </c>
      <c r="F243" s="2" t="s">
        <v>2105</v>
      </c>
      <c r="G243" s="2" t="s">
        <v>2</v>
      </c>
      <c r="H243" s="2" t="s">
        <v>2</v>
      </c>
      <c r="I243" s="2" t="s">
        <v>2</v>
      </c>
      <c r="J243" s="2" t="s">
        <v>28</v>
      </c>
      <c r="K243" s="3">
        <v>0</v>
      </c>
      <c r="L243" s="3">
        <v>0</v>
      </c>
      <c r="M243" s="3">
        <v>0</v>
      </c>
      <c r="N243" s="3">
        <v>2</v>
      </c>
      <c r="O243" s="4">
        <v>0</v>
      </c>
      <c r="P243" s="4">
        <v>0</v>
      </c>
      <c r="Q243" s="4">
        <v>0</v>
      </c>
      <c r="R243" s="4">
        <v>22.4</v>
      </c>
      <c r="S243" s="4">
        <v>8</v>
      </c>
      <c r="T243" s="2" t="s">
        <v>2102</v>
      </c>
      <c r="U243" s="2" t="s">
        <v>2106</v>
      </c>
      <c r="V243" s="2" t="s">
        <v>2</v>
      </c>
      <c r="W243" s="2" t="s">
        <v>2</v>
      </c>
    </row>
    <row r="244" spans="1:23" ht="24" customHeight="1" x14ac:dyDescent="0.3">
      <c r="A244" s="2" t="s">
        <v>812</v>
      </c>
      <c r="B244" s="11"/>
      <c r="C244" s="11"/>
      <c r="D244" s="2" t="s">
        <v>2107</v>
      </c>
      <c r="E244" s="2" t="s">
        <v>2108</v>
      </c>
      <c r="F244" s="2" t="s">
        <v>2109</v>
      </c>
      <c r="G244" s="2" t="s">
        <v>2</v>
      </c>
      <c r="H244" s="2" t="s">
        <v>2</v>
      </c>
      <c r="I244" s="2" t="s">
        <v>2</v>
      </c>
      <c r="J244" s="2" t="s">
        <v>28</v>
      </c>
      <c r="K244" s="3">
        <v>0</v>
      </c>
      <c r="L244" s="3">
        <v>0</v>
      </c>
      <c r="M244" s="3">
        <v>0</v>
      </c>
      <c r="N244" s="3">
        <v>3</v>
      </c>
      <c r="O244" s="4">
        <v>0</v>
      </c>
      <c r="P244" s="4">
        <v>0</v>
      </c>
      <c r="Q244" s="4">
        <v>0</v>
      </c>
      <c r="R244" s="4">
        <v>5.5</v>
      </c>
      <c r="S244" s="4">
        <v>0</v>
      </c>
      <c r="T244" s="2" t="s">
        <v>2110</v>
      </c>
      <c r="U244" s="2" t="s">
        <v>2111</v>
      </c>
      <c r="V244" s="2" t="s">
        <v>2</v>
      </c>
      <c r="W244" s="2" t="s">
        <v>1858</v>
      </c>
    </row>
    <row r="245" spans="1:23" ht="24" customHeight="1" x14ac:dyDescent="0.3">
      <c r="A245" s="2" t="s">
        <v>813</v>
      </c>
      <c r="B245" s="11"/>
      <c r="C245" s="11"/>
      <c r="D245" s="2" t="s">
        <v>2112</v>
      </c>
      <c r="E245" s="2" t="s">
        <v>2113</v>
      </c>
      <c r="F245" s="2" t="s">
        <v>2114</v>
      </c>
      <c r="G245" s="2" t="s">
        <v>2</v>
      </c>
      <c r="H245" s="2" t="s">
        <v>2</v>
      </c>
      <c r="I245" s="2" t="s">
        <v>2</v>
      </c>
      <c r="J245" s="2" t="s">
        <v>28</v>
      </c>
      <c r="K245" s="3">
        <v>0</v>
      </c>
      <c r="L245" s="3">
        <v>0</v>
      </c>
      <c r="M245" s="3">
        <v>0</v>
      </c>
      <c r="N245" s="3">
        <v>2</v>
      </c>
      <c r="O245" s="4">
        <v>0</v>
      </c>
      <c r="P245" s="4">
        <v>0</v>
      </c>
      <c r="Q245" s="4">
        <v>0</v>
      </c>
      <c r="R245" s="4">
        <v>28.2</v>
      </c>
      <c r="S245" s="4">
        <v>3231.4</v>
      </c>
      <c r="T245" s="2" t="s">
        <v>2</v>
      </c>
      <c r="U245" s="2" t="s">
        <v>2115</v>
      </c>
      <c r="V245" s="2" t="s">
        <v>2</v>
      </c>
      <c r="W245" s="2" t="s">
        <v>510</v>
      </c>
    </row>
    <row r="246" spans="1:23" ht="24" customHeight="1" x14ac:dyDescent="0.3">
      <c r="A246" s="2" t="s">
        <v>815</v>
      </c>
      <c r="B246" s="11"/>
      <c r="C246" s="11"/>
      <c r="D246" s="2" t="s">
        <v>2116</v>
      </c>
      <c r="E246" s="2" t="s">
        <v>2117</v>
      </c>
      <c r="F246" s="2" t="s">
        <v>2118</v>
      </c>
      <c r="G246" s="2" t="s">
        <v>2</v>
      </c>
      <c r="H246" s="2" t="s">
        <v>2</v>
      </c>
      <c r="I246" s="2" t="s">
        <v>2</v>
      </c>
      <c r="J246" s="2" t="s">
        <v>28</v>
      </c>
      <c r="K246" s="3">
        <v>0</v>
      </c>
      <c r="L246" s="3">
        <v>0</v>
      </c>
      <c r="M246" s="3">
        <v>0</v>
      </c>
      <c r="N246" s="3">
        <v>2</v>
      </c>
      <c r="O246" s="4">
        <v>0</v>
      </c>
      <c r="P246" s="4">
        <v>0</v>
      </c>
      <c r="Q246" s="4">
        <v>0</v>
      </c>
      <c r="R246" s="4">
        <v>5</v>
      </c>
      <c r="S246" s="4">
        <v>50</v>
      </c>
      <c r="T246" s="2" t="s">
        <v>2</v>
      </c>
      <c r="U246" s="2" t="s">
        <v>2119</v>
      </c>
      <c r="V246" s="2" t="s">
        <v>2</v>
      </c>
      <c r="W246" s="2" t="s">
        <v>2</v>
      </c>
    </row>
    <row r="247" spans="1:23" ht="24" customHeight="1" x14ac:dyDescent="0.3">
      <c r="A247" s="2" t="s">
        <v>816</v>
      </c>
      <c r="B247" s="11"/>
      <c r="C247" s="11"/>
      <c r="D247" s="2" t="s">
        <v>2120</v>
      </c>
      <c r="E247" s="2" t="s">
        <v>2121</v>
      </c>
      <c r="F247" s="2" t="s">
        <v>2122</v>
      </c>
      <c r="G247" s="2" t="s">
        <v>2</v>
      </c>
      <c r="H247" s="2" t="s">
        <v>2</v>
      </c>
      <c r="I247" s="2" t="s">
        <v>2</v>
      </c>
      <c r="J247" s="2" t="s">
        <v>28</v>
      </c>
      <c r="K247" s="3">
        <v>0</v>
      </c>
      <c r="L247" s="3">
        <v>0</v>
      </c>
      <c r="M247" s="3">
        <v>0</v>
      </c>
      <c r="N247" s="3">
        <v>5</v>
      </c>
      <c r="O247" s="4">
        <v>0</v>
      </c>
      <c r="P247" s="4">
        <v>0</v>
      </c>
      <c r="Q247" s="4">
        <v>0</v>
      </c>
      <c r="R247" s="4">
        <v>56</v>
      </c>
      <c r="S247" s="4">
        <v>1400.8</v>
      </c>
      <c r="T247" s="2" t="s">
        <v>2123</v>
      </c>
      <c r="U247" s="2" t="s">
        <v>2124</v>
      </c>
      <c r="V247" s="2" t="s">
        <v>2</v>
      </c>
      <c r="W247" s="2" t="s">
        <v>2</v>
      </c>
    </row>
    <row r="248" spans="1:23" ht="24" customHeight="1" x14ac:dyDescent="0.3">
      <c r="A248" s="2" t="s">
        <v>816</v>
      </c>
      <c r="B248" s="11"/>
      <c r="C248" s="11"/>
      <c r="D248" s="2" t="s">
        <v>2120</v>
      </c>
      <c r="E248" s="2" t="s">
        <v>2121</v>
      </c>
      <c r="F248" s="2" t="s">
        <v>2122</v>
      </c>
      <c r="G248" s="2" t="s">
        <v>2</v>
      </c>
      <c r="H248" s="2" t="s">
        <v>2</v>
      </c>
      <c r="I248" s="2" t="s">
        <v>27</v>
      </c>
      <c r="J248" s="2" t="s">
        <v>2</v>
      </c>
      <c r="K248" s="3">
        <v>0</v>
      </c>
      <c r="L248" s="3">
        <v>0</v>
      </c>
      <c r="M248" s="3">
        <v>3</v>
      </c>
      <c r="N248" s="3">
        <v>0</v>
      </c>
      <c r="O248" s="4">
        <v>0</v>
      </c>
      <c r="P248" s="4">
        <v>0</v>
      </c>
      <c r="Q248" s="4">
        <v>10</v>
      </c>
      <c r="R248" s="4">
        <v>0</v>
      </c>
      <c r="S248" s="4">
        <v>0</v>
      </c>
      <c r="T248" s="2" t="s">
        <v>2123</v>
      </c>
      <c r="U248" s="2" t="s">
        <v>2125</v>
      </c>
      <c r="V248" s="2" t="s">
        <v>2</v>
      </c>
      <c r="W248" s="2" t="s">
        <v>2</v>
      </c>
    </row>
    <row r="249" spans="1:23" ht="24" customHeight="1" x14ac:dyDescent="0.3">
      <c r="A249" s="2" t="s">
        <v>816</v>
      </c>
      <c r="B249" s="11"/>
      <c r="C249" s="11"/>
      <c r="D249" s="2" t="s">
        <v>2120</v>
      </c>
      <c r="E249" s="2" t="s">
        <v>2121</v>
      </c>
      <c r="F249" s="2" t="s">
        <v>2122</v>
      </c>
      <c r="G249" s="2" t="s">
        <v>2</v>
      </c>
      <c r="H249" s="2" t="s">
        <v>2</v>
      </c>
      <c r="I249" s="2" t="s">
        <v>2</v>
      </c>
      <c r="J249" s="2" t="s">
        <v>28</v>
      </c>
      <c r="K249" s="3">
        <v>0</v>
      </c>
      <c r="L249" s="3">
        <v>0</v>
      </c>
      <c r="M249" s="3">
        <v>0</v>
      </c>
      <c r="N249" s="3">
        <v>2</v>
      </c>
      <c r="O249" s="4">
        <v>0</v>
      </c>
      <c r="P249" s="4">
        <v>0</v>
      </c>
      <c r="Q249" s="4">
        <v>0</v>
      </c>
      <c r="R249" s="4">
        <v>10</v>
      </c>
      <c r="S249" s="4">
        <v>1400.8</v>
      </c>
      <c r="T249" s="2" t="s">
        <v>2123</v>
      </c>
      <c r="U249" s="2" t="s">
        <v>2126</v>
      </c>
      <c r="V249" s="2" t="s">
        <v>2</v>
      </c>
      <c r="W249" s="2" t="s">
        <v>2</v>
      </c>
    </row>
    <row r="250" spans="1:23" ht="24" customHeight="1" x14ac:dyDescent="0.3">
      <c r="A250" s="2" t="s">
        <v>817</v>
      </c>
      <c r="B250" s="11"/>
      <c r="C250" s="11"/>
      <c r="D250" s="2" t="s">
        <v>2127</v>
      </c>
      <c r="E250" s="2" t="s">
        <v>2128</v>
      </c>
      <c r="F250" s="2" t="s">
        <v>2129</v>
      </c>
      <c r="G250" s="2" t="s">
        <v>2</v>
      </c>
      <c r="H250" s="2" t="s">
        <v>2</v>
      </c>
      <c r="I250" s="2" t="s">
        <v>2</v>
      </c>
      <c r="J250" s="2" t="s">
        <v>28</v>
      </c>
      <c r="K250" s="3">
        <v>0</v>
      </c>
      <c r="L250" s="3">
        <v>0</v>
      </c>
      <c r="M250" s="3">
        <v>0</v>
      </c>
      <c r="N250" s="3">
        <v>3</v>
      </c>
      <c r="O250" s="4">
        <v>0</v>
      </c>
      <c r="P250" s="4">
        <v>0</v>
      </c>
      <c r="Q250" s="4">
        <v>0</v>
      </c>
      <c r="R250" s="4">
        <v>40.5</v>
      </c>
      <c r="S250" s="4">
        <v>21348.3</v>
      </c>
      <c r="T250" s="2" t="s">
        <v>2130</v>
      </c>
      <c r="U250" s="2" t="s">
        <v>2131</v>
      </c>
      <c r="V250" s="2" t="s">
        <v>2</v>
      </c>
      <c r="W250" s="2" t="s">
        <v>2</v>
      </c>
    </row>
    <row r="251" spans="1:23" ht="24" customHeight="1" x14ac:dyDescent="0.3">
      <c r="A251" s="2" t="s">
        <v>818</v>
      </c>
      <c r="B251" s="11"/>
      <c r="C251" s="11"/>
      <c r="D251" s="2" t="s">
        <v>2132</v>
      </c>
      <c r="E251" s="2" t="s">
        <v>1166</v>
      </c>
      <c r="F251" s="2" t="s">
        <v>2133</v>
      </c>
      <c r="G251" s="2" t="s">
        <v>2</v>
      </c>
      <c r="H251" s="2" t="s">
        <v>2</v>
      </c>
      <c r="I251" s="2" t="s">
        <v>27</v>
      </c>
      <c r="J251" s="2" t="s">
        <v>2</v>
      </c>
      <c r="K251" s="3">
        <v>0</v>
      </c>
      <c r="L251" s="3">
        <v>0</v>
      </c>
      <c r="M251" s="3">
        <v>4</v>
      </c>
      <c r="N251" s="3">
        <v>0</v>
      </c>
      <c r="O251" s="4">
        <v>0</v>
      </c>
      <c r="P251" s="4">
        <v>0</v>
      </c>
      <c r="Q251" s="4">
        <v>10</v>
      </c>
      <c r="R251" s="4">
        <v>0</v>
      </c>
      <c r="S251" s="4">
        <v>959.8</v>
      </c>
      <c r="T251" s="2" t="s">
        <v>2134</v>
      </c>
      <c r="U251" s="2" t="s">
        <v>2135</v>
      </c>
      <c r="V251" s="2" t="s">
        <v>2</v>
      </c>
      <c r="W251" s="2" t="s">
        <v>2</v>
      </c>
    </row>
    <row r="252" spans="1:23" ht="24" customHeight="1" x14ac:dyDescent="0.3">
      <c r="A252" s="2" t="s">
        <v>819</v>
      </c>
      <c r="B252" s="11"/>
      <c r="C252" s="11"/>
      <c r="D252" s="2" t="s">
        <v>2136</v>
      </c>
      <c r="E252" s="2" t="s">
        <v>2137</v>
      </c>
      <c r="F252" s="2" t="s">
        <v>2138</v>
      </c>
      <c r="G252" s="2" t="s">
        <v>2</v>
      </c>
      <c r="H252" s="2" t="s">
        <v>2</v>
      </c>
      <c r="I252" s="2" t="s">
        <v>27</v>
      </c>
      <c r="J252" s="2" t="s">
        <v>2</v>
      </c>
      <c r="K252" s="3">
        <v>0</v>
      </c>
      <c r="L252" s="3">
        <v>0</v>
      </c>
      <c r="M252" s="3">
        <v>3</v>
      </c>
      <c r="N252" s="3">
        <v>0</v>
      </c>
      <c r="O252" s="4">
        <v>0</v>
      </c>
      <c r="P252" s="4">
        <v>0</v>
      </c>
      <c r="Q252" s="4">
        <v>4.5</v>
      </c>
      <c r="R252" s="4">
        <v>0</v>
      </c>
      <c r="S252" s="4">
        <v>0</v>
      </c>
      <c r="T252" s="2" t="s">
        <v>2139</v>
      </c>
      <c r="U252" s="2" t="s">
        <v>2140</v>
      </c>
      <c r="V252" s="2" t="s">
        <v>2</v>
      </c>
      <c r="W252" s="2" t="s">
        <v>2</v>
      </c>
    </row>
    <row r="253" spans="1:23" ht="24" customHeight="1" x14ac:dyDescent="0.3">
      <c r="A253" s="2" t="s">
        <v>820</v>
      </c>
      <c r="B253" s="11"/>
      <c r="C253" s="11"/>
      <c r="D253" s="2" t="s">
        <v>2141</v>
      </c>
      <c r="E253" s="2" t="s">
        <v>2142</v>
      </c>
      <c r="F253" s="2" t="s">
        <v>2143</v>
      </c>
      <c r="G253" s="2" t="s">
        <v>2</v>
      </c>
      <c r="H253" s="2" t="s">
        <v>2</v>
      </c>
      <c r="I253" s="2" t="s">
        <v>2</v>
      </c>
      <c r="J253" s="2" t="s">
        <v>28</v>
      </c>
      <c r="K253" s="3">
        <v>0</v>
      </c>
      <c r="L253" s="3">
        <v>0</v>
      </c>
      <c r="M253" s="3">
        <v>0</v>
      </c>
      <c r="N253" s="3">
        <v>3</v>
      </c>
      <c r="O253" s="4">
        <v>0</v>
      </c>
      <c r="P253" s="4">
        <v>0</v>
      </c>
      <c r="Q253" s="4">
        <v>0</v>
      </c>
      <c r="R253" s="4">
        <v>12</v>
      </c>
      <c r="S253" s="4">
        <v>0</v>
      </c>
      <c r="T253" s="2" t="s">
        <v>2</v>
      </c>
      <c r="U253" s="2" t="s">
        <v>535</v>
      </c>
      <c r="V253" s="2" t="s">
        <v>2</v>
      </c>
      <c r="W253" s="2" t="s">
        <v>2</v>
      </c>
    </row>
    <row r="254" spans="1:23" ht="24" customHeight="1" x14ac:dyDescent="0.3">
      <c r="A254" s="2" t="s">
        <v>821</v>
      </c>
      <c r="B254" s="11"/>
      <c r="C254" s="11"/>
      <c r="D254" s="2" t="s">
        <v>2144</v>
      </c>
      <c r="E254" s="2" t="s">
        <v>2145</v>
      </c>
      <c r="F254" s="2" t="s">
        <v>2146</v>
      </c>
      <c r="G254" s="2" t="s">
        <v>2</v>
      </c>
      <c r="H254" s="2" t="s">
        <v>2</v>
      </c>
      <c r="I254" s="2" t="s">
        <v>2</v>
      </c>
      <c r="J254" s="2" t="s">
        <v>28</v>
      </c>
      <c r="K254" s="3">
        <v>0</v>
      </c>
      <c r="L254" s="3">
        <v>0</v>
      </c>
      <c r="M254" s="3">
        <v>0</v>
      </c>
      <c r="N254" s="3">
        <v>2</v>
      </c>
      <c r="O254" s="4">
        <v>0</v>
      </c>
      <c r="P254" s="4">
        <v>0</v>
      </c>
      <c r="Q254" s="4">
        <v>0</v>
      </c>
      <c r="R254" s="4">
        <v>4</v>
      </c>
      <c r="S254" s="4">
        <v>0</v>
      </c>
      <c r="T254" s="2" t="s">
        <v>2023</v>
      </c>
      <c r="U254" s="2" t="s">
        <v>1071</v>
      </c>
      <c r="V254" s="2" t="s">
        <v>2</v>
      </c>
      <c r="W254" s="2" t="s">
        <v>1921</v>
      </c>
    </row>
    <row r="255" spans="1:23" ht="24" customHeight="1" x14ac:dyDescent="0.3">
      <c r="A255" s="2" t="s">
        <v>822</v>
      </c>
      <c r="B255" s="11"/>
      <c r="C255" s="11"/>
      <c r="D255" s="2" t="s">
        <v>2147</v>
      </c>
      <c r="E255" s="2" t="s">
        <v>2148</v>
      </c>
      <c r="F255" s="2" t="s">
        <v>2149</v>
      </c>
      <c r="G255" s="2" t="s">
        <v>2</v>
      </c>
      <c r="H255" s="2" t="s">
        <v>2</v>
      </c>
      <c r="I255" s="2" t="s">
        <v>27</v>
      </c>
      <c r="J255" s="2" t="s">
        <v>2</v>
      </c>
      <c r="K255" s="3">
        <v>0</v>
      </c>
      <c r="L255" s="3">
        <v>0</v>
      </c>
      <c r="M255" s="3">
        <v>4</v>
      </c>
      <c r="N255" s="3">
        <v>0</v>
      </c>
      <c r="O255" s="4">
        <v>0</v>
      </c>
      <c r="P255" s="4">
        <v>0</v>
      </c>
      <c r="Q255" s="4">
        <v>4</v>
      </c>
      <c r="R255" s="4">
        <v>0</v>
      </c>
      <c r="S255" s="4">
        <v>71.3</v>
      </c>
      <c r="T255" s="2" t="s">
        <v>2150</v>
      </c>
      <c r="U255" s="2" t="s">
        <v>2151</v>
      </c>
      <c r="V255" s="2" t="s">
        <v>2</v>
      </c>
      <c r="W255" s="2" t="s">
        <v>2</v>
      </c>
    </row>
    <row r="256" spans="1:23" ht="24" customHeight="1" x14ac:dyDescent="0.3">
      <c r="A256" s="2" t="s">
        <v>823</v>
      </c>
      <c r="B256" s="11"/>
      <c r="C256" s="11"/>
      <c r="D256" s="2" t="s">
        <v>2152</v>
      </c>
      <c r="E256" s="2" t="s">
        <v>2153</v>
      </c>
      <c r="F256" s="2" t="s">
        <v>2154</v>
      </c>
      <c r="G256" s="2" t="s">
        <v>2</v>
      </c>
      <c r="H256" s="2" t="s">
        <v>2</v>
      </c>
      <c r="I256" s="2" t="s">
        <v>2</v>
      </c>
      <c r="J256" s="2" t="s">
        <v>28</v>
      </c>
      <c r="K256" s="3">
        <v>0</v>
      </c>
      <c r="L256" s="3">
        <v>0</v>
      </c>
      <c r="M256" s="3">
        <v>0</v>
      </c>
      <c r="N256" s="3">
        <v>3</v>
      </c>
      <c r="O256" s="4">
        <v>0</v>
      </c>
      <c r="P256" s="4">
        <v>0</v>
      </c>
      <c r="Q256" s="4">
        <v>0</v>
      </c>
      <c r="R256" s="4">
        <v>4</v>
      </c>
      <c r="S256" s="4">
        <v>0</v>
      </c>
      <c r="T256" s="2" t="s">
        <v>2155</v>
      </c>
      <c r="U256" s="2" t="s">
        <v>2156</v>
      </c>
      <c r="V256" s="2" t="s">
        <v>2</v>
      </c>
      <c r="W256" s="2" t="s">
        <v>1867</v>
      </c>
    </row>
    <row r="257" spans="1:23" ht="24" customHeight="1" x14ac:dyDescent="0.3">
      <c r="A257" s="2" t="s">
        <v>824</v>
      </c>
      <c r="B257" s="11"/>
      <c r="C257" s="11"/>
      <c r="D257" s="2" t="s">
        <v>2157</v>
      </c>
      <c r="E257" s="2" t="s">
        <v>2158</v>
      </c>
      <c r="F257" s="2" t="s">
        <v>2159</v>
      </c>
      <c r="G257" s="2" t="s">
        <v>2</v>
      </c>
      <c r="H257" s="2" t="s">
        <v>2</v>
      </c>
      <c r="I257" s="2" t="s">
        <v>27</v>
      </c>
      <c r="J257" s="2" t="s">
        <v>2</v>
      </c>
      <c r="K257" s="3">
        <v>0</v>
      </c>
      <c r="L257" s="3">
        <v>0</v>
      </c>
      <c r="M257" s="3">
        <v>3</v>
      </c>
      <c r="N257" s="3">
        <v>0</v>
      </c>
      <c r="O257" s="4">
        <v>0</v>
      </c>
      <c r="P257" s="4">
        <v>0</v>
      </c>
      <c r="Q257" s="4">
        <v>30</v>
      </c>
      <c r="R257" s="4">
        <v>0</v>
      </c>
      <c r="S257" s="4">
        <v>5606.6</v>
      </c>
      <c r="T257" s="2" t="s">
        <v>2160</v>
      </c>
      <c r="U257" s="2" t="s">
        <v>2161</v>
      </c>
      <c r="V257" s="2" t="s">
        <v>2</v>
      </c>
      <c r="W257" s="2" t="s">
        <v>2</v>
      </c>
    </row>
    <row r="258" spans="1:23" ht="24" customHeight="1" x14ac:dyDescent="0.3">
      <c r="A258" s="2" t="s">
        <v>825</v>
      </c>
      <c r="B258" s="11"/>
      <c r="C258" s="11"/>
      <c r="D258" s="2" t="s">
        <v>2162</v>
      </c>
      <c r="E258" s="2" t="s">
        <v>2163</v>
      </c>
      <c r="F258" s="2" t="s">
        <v>2164</v>
      </c>
      <c r="G258" s="2" t="s">
        <v>2</v>
      </c>
      <c r="H258" s="2" t="s">
        <v>2</v>
      </c>
      <c r="I258" s="2" t="s">
        <v>2</v>
      </c>
      <c r="J258" s="2" t="s">
        <v>28</v>
      </c>
      <c r="K258" s="3">
        <v>0</v>
      </c>
      <c r="L258" s="3">
        <v>0</v>
      </c>
      <c r="M258" s="3">
        <v>0</v>
      </c>
      <c r="N258" s="3">
        <v>3</v>
      </c>
      <c r="O258" s="4">
        <v>0</v>
      </c>
      <c r="P258" s="4">
        <v>0</v>
      </c>
      <c r="Q258" s="4">
        <v>0</v>
      </c>
      <c r="R258" s="4">
        <v>49</v>
      </c>
      <c r="S258" s="4">
        <v>31901.7</v>
      </c>
      <c r="T258" s="2" t="s">
        <v>2165</v>
      </c>
      <c r="U258" s="2" t="s">
        <v>2166</v>
      </c>
      <c r="V258" s="2" t="s">
        <v>2</v>
      </c>
      <c r="W258" s="2" t="s">
        <v>2</v>
      </c>
    </row>
    <row r="259" spans="1:23" ht="24" customHeight="1" x14ac:dyDescent="0.3">
      <c r="A259" s="2" t="s">
        <v>826</v>
      </c>
      <c r="B259" s="11"/>
      <c r="C259" s="11"/>
      <c r="D259" s="2" t="s">
        <v>2167</v>
      </c>
      <c r="E259" s="2" t="s">
        <v>2168</v>
      </c>
      <c r="F259" s="2" t="s">
        <v>2169</v>
      </c>
      <c r="G259" s="2" t="s">
        <v>2</v>
      </c>
      <c r="H259" s="2" t="s">
        <v>2</v>
      </c>
      <c r="I259" s="2" t="s">
        <v>27</v>
      </c>
      <c r="J259" s="2" t="s">
        <v>2</v>
      </c>
      <c r="K259" s="3">
        <v>0</v>
      </c>
      <c r="L259" s="3">
        <v>0</v>
      </c>
      <c r="M259" s="3">
        <v>4</v>
      </c>
      <c r="N259" s="3">
        <v>0</v>
      </c>
      <c r="O259" s="4">
        <v>0</v>
      </c>
      <c r="P259" s="4">
        <v>0</v>
      </c>
      <c r="Q259" s="4">
        <v>4</v>
      </c>
      <c r="R259" s="4">
        <v>0</v>
      </c>
      <c r="S259" s="4">
        <v>133020</v>
      </c>
      <c r="T259" s="2" t="s">
        <v>2170</v>
      </c>
      <c r="U259" s="2" t="s">
        <v>2171</v>
      </c>
      <c r="V259" s="2" t="s">
        <v>2</v>
      </c>
      <c r="W259" s="2" t="s">
        <v>2</v>
      </c>
    </row>
    <row r="260" spans="1:23" ht="24" customHeight="1" x14ac:dyDescent="0.3">
      <c r="A260" s="2" t="s">
        <v>829</v>
      </c>
      <c r="B260" s="11"/>
      <c r="C260" s="11"/>
      <c r="D260" s="2" t="s">
        <v>2172</v>
      </c>
      <c r="E260" s="2" t="s">
        <v>2173</v>
      </c>
      <c r="F260" s="2" t="s">
        <v>2174</v>
      </c>
      <c r="G260" s="2" t="s">
        <v>2</v>
      </c>
      <c r="H260" s="2" t="s">
        <v>2</v>
      </c>
      <c r="I260" s="2" t="s">
        <v>27</v>
      </c>
      <c r="J260" s="2" t="s">
        <v>2</v>
      </c>
      <c r="K260" s="3">
        <v>0</v>
      </c>
      <c r="L260" s="3">
        <v>0</v>
      </c>
      <c r="M260" s="3">
        <v>6</v>
      </c>
      <c r="N260" s="3">
        <v>0</v>
      </c>
      <c r="O260" s="4">
        <v>0</v>
      </c>
      <c r="P260" s="4">
        <v>0</v>
      </c>
      <c r="Q260" s="4">
        <v>120</v>
      </c>
      <c r="R260" s="4">
        <v>0</v>
      </c>
      <c r="S260" s="4">
        <v>2339.8000000000002</v>
      </c>
      <c r="T260" s="2" t="s">
        <v>2175</v>
      </c>
      <c r="U260" s="2" t="s">
        <v>2176</v>
      </c>
      <c r="V260" s="2" t="s">
        <v>2</v>
      </c>
      <c r="W260" s="2" t="s">
        <v>2</v>
      </c>
    </row>
    <row r="261" spans="1:23" ht="24" customHeight="1" x14ac:dyDescent="0.3">
      <c r="A261" s="2" t="s">
        <v>830</v>
      </c>
      <c r="B261" s="11"/>
      <c r="C261" s="11"/>
      <c r="D261" s="2" t="s">
        <v>2177</v>
      </c>
      <c r="E261" s="2" t="s">
        <v>2178</v>
      </c>
      <c r="F261" s="2" t="s">
        <v>2179</v>
      </c>
      <c r="G261" s="2" t="s">
        <v>2</v>
      </c>
      <c r="H261" s="2" t="s">
        <v>2</v>
      </c>
      <c r="I261" s="2" t="s">
        <v>2</v>
      </c>
      <c r="J261" s="2" t="s">
        <v>28</v>
      </c>
      <c r="K261" s="3">
        <v>0</v>
      </c>
      <c r="L261" s="3">
        <v>0</v>
      </c>
      <c r="M261" s="3">
        <v>0</v>
      </c>
      <c r="N261" s="3">
        <v>2</v>
      </c>
      <c r="O261" s="4">
        <v>0</v>
      </c>
      <c r="P261" s="4">
        <v>0</v>
      </c>
      <c r="Q261" s="4">
        <v>0</v>
      </c>
      <c r="R261" s="4">
        <v>4</v>
      </c>
      <c r="S261" s="4">
        <v>0</v>
      </c>
      <c r="T261" s="2" t="s">
        <v>2180</v>
      </c>
      <c r="U261" s="2" t="s">
        <v>2181</v>
      </c>
      <c r="V261" s="2" t="s">
        <v>2</v>
      </c>
      <c r="W261" s="2" t="s">
        <v>1858</v>
      </c>
    </row>
    <row r="262" spans="1:23" ht="24" customHeight="1" x14ac:dyDescent="0.3">
      <c r="A262" s="2" t="s">
        <v>831</v>
      </c>
      <c r="B262" s="11"/>
      <c r="C262" s="11"/>
      <c r="D262" s="2" t="s">
        <v>2182</v>
      </c>
      <c r="E262" s="2" t="s">
        <v>2183</v>
      </c>
      <c r="F262" s="2" t="s">
        <v>2184</v>
      </c>
      <c r="G262" s="2" t="s">
        <v>2</v>
      </c>
      <c r="H262" s="2" t="s">
        <v>2</v>
      </c>
      <c r="I262" s="2" t="s">
        <v>2</v>
      </c>
      <c r="J262" s="2" t="s">
        <v>28</v>
      </c>
      <c r="K262" s="3">
        <v>0</v>
      </c>
      <c r="L262" s="3">
        <v>0</v>
      </c>
      <c r="M262" s="3">
        <v>0</v>
      </c>
      <c r="N262" s="3">
        <v>24</v>
      </c>
      <c r="O262" s="4">
        <v>0</v>
      </c>
      <c r="P262" s="4">
        <v>0</v>
      </c>
      <c r="Q262" s="4">
        <v>0</v>
      </c>
      <c r="R262" s="4">
        <v>450</v>
      </c>
      <c r="S262" s="4">
        <v>45733.2</v>
      </c>
      <c r="T262" s="2" t="s">
        <v>2185</v>
      </c>
      <c r="U262" s="2" t="s">
        <v>2186</v>
      </c>
      <c r="V262" s="2" t="s">
        <v>2</v>
      </c>
      <c r="W262" s="2" t="s">
        <v>2</v>
      </c>
    </row>
    <row r="263" spans="1:23" ht="24" customHeight="1" x14ac:dyDescent="0.3">
      <c r="A263" s="2" t="s">
        <v>832</v>
      </c>
      <c r="B263" s="11"/>
      <c r="C263" s="11"/>
      <c r="D263" s="2" t="s">
        <v>2187</v>
      </c>
      <c r="E263" s="2" t="s">
        <v>2188</v>
      </c>
      <c r="F263" s="2" t="s">
        <v>2189</v>
      </c>
      <c r="G263" s="2" t="s">
        <v>2</v>
      </c>
      <c r="H263" s="2" t="s">
        <v>2</v>
      </c>
      <c r="I263" s="2" t="s">
        <v>2</v>
      </c>
      <c r="J263" s="2" t="s">
        <v>28</v>
      </c>
      <c r="K263" s="3">
        <v>0</v>
      </c>
      <c r="L263" s="3">
        <v>0</v>
      </c>
      <c r="M263" s="3">
        <v>0</v>
      </c>
      <c r="N263" s="3">
        <v>4</v>
      </c>
      <c r="O263" s="4">
        <v>0</v>
      </c>
      <c r="P263" s="4">
        <v>0</v>
      </c>
      <c r="Q263" s="4">
        <v>0</v>
      </c>
      <c r="R263" s="4">
        <v>76</v>
      </c>
      <c r="S263" s="4">
        <v>37116.5</v>
      </c>
      <c r="T263" s="2" t="s">
        <v>2190</v>
      </c>
      <c r="U263" s="2" t="s">
        <v>273</v>
      </c>
      <c r="V263" s="2" t="s">
        <v>2</v>
      </c>
      <c r="W263" s="2" t="s">
        <v>2</v>
      </c>
    </row>
    <row r="264" spans="1:23" ht="24" customHeight="1" x14ac:dyDescent="0.3">
      <c r="A264" s="2" t="s">
        <v>833</v>
      </c>
      <c r="B264" s="11"/>
      <c r="C264" s="11"/>
      <c r="D264" s="2" t="s">
        <v>2191</v>
      </c>
      <c r="E264" s="2" t="s">
        <v>2192</v>
      </c>
      <c r="F264" s="2" t="s">
        <v>2193</v>
      </c>
      <c r="G264" s="2" t="s">
        <v>2</v>
      </c>
      <c r="H264" s="2" t="s">
        <v>2</v>
      </c>
      <c r="I264" s="2" t="s">
        <v>27</v>
      </c>
      <c r="J264" s="2" t="s">
        <v>2</v>
      </c>
      <c r="K264" s="3">
        <v>0</v>
      </c>
      <c r="L264" s="3">
        <v>0</v>
      </c>
      <c r="M264" s="3">
        <v>8</v>
      </c>
      <c r="N264" s="3">
        <v>0</v>
      </c>
      <c r="O264" s="4">
        <v>0</v>
      </c>
      <c r="P264" s="4">
        <v>0</v>
      </c>
      <c r="Q264" s="4">
        <v>22</v>
      </c>
      <c r="R264" s="4">
        <v>0</v>
      </c>
      <c r="S264" s="4">
        <v>54580.7</v>
      </c>
      <c r="T264" s="2" t="s">
        <v>2194</v>
      </c>
      <c r="U264" s="2" t="s">
        <v>989</v>
      </c>
      <c r="V264" s="2" t="s">
        <v>2</v>
      </c>
      <c r="W264" s="2" t="s">
        <v>2</v>
      </c>
    </row>
    <row r="265" spans="1:23" ht="24" customHeight="1" x14ac:dyDescent="0.3">
      <c r="A265" s="2" t="s">
        <v>834</v>
      </c>
      <c r="B265" s="11"/>
      <c r="C265" s="11"/>
      <c r="D265" s="2" t="s">
        <v>2195</v>
      </c>
      <c r="E265" s="2" t="s">
        <v>2196</v>
      </c>
      <c r="F265" s="2" t="s">
        <v>2197</v>
      </c>
      <c r="G265" s="2" t="s">
        <v>2</v>
      </c>
      <c r="H265" s="2" t="s">
        <v>2</v>
      </c>
      <c r="I265" s="2" t="s">
        <v>2</v>
      </c>
      <c r="J265" s="2" t="s">
        <v>28</v>
      </c>
      <c r="K265" s="3">
        <v>0</v>
      </c>
      <c r="L265" s="3">
        <v>0</v>
      </c>
      <c r="M265" s="3">
        <v>0</v>
      </c>
      <c r="N265" s="3">
        <v>2</v>
      </c>
      <c r="O265" s="4">
        <v>0</v>
      </c>
      <c r="P265" s="4">
        <v>0</v>
      </c>
      <c r="Q265" s="4">
        <v>0</v>
      </c>
      <c r="R265" s="4">
        <v>5</v>
      </c>
      <c r="S265" s="4">
        <v>22962.9</v>
      </c>
      <c r="T265" s="2" t="s">
        <v>2198</v>
      </c>
      <c r="U265" s="2" t="s">
        <v>624</v>
      </c>
      <c r="V265" s="2" t="s">
        <v>2</v>
      </c>
      <c r="W265" s="2" t="s">
        <v>2</v>
      </c>
    </row>
    <row r="266" spans="1:23" ht="24" customHeight="1" x14ac:dyDescent="0.3">
      <c r="A266" s="2" t="s">
        <v>835</v>
      </c>
      <c r="B266" s="11"/>
      <c r="C266" s="11"/>
      <c r="D266" s="2" t="s">
        <v>2199</v>
      </c>
      <c r="E266" s="2" t="s">
        <v>2200</v>
      </c>
      <c r="F266" s="2" t="s">
        <v>2201</v>
      </c>
      <c r="G266" s="2" t="s">
        <v>2</v>
      </c>
      <c r="H266" s="2" t="s">
        <v>2</v>
      </c>
      <c r="I266" s="2" t="s">
        <v>27</v>
      </c>
      <c r="J266" s="2" t="s">
        <v>2</v>
      </c>
      <c r="K266" s="3">
        <v>0</v>
      </c>
      <c r="L266" s="3">
        <v>0</v>
      </c>
      <c r="M266" s="3">
        <v>1</v>
      </c>
      <c r="N266" s="3">
        <v>0</v>
      </c>
      <c r="O266" s="4">
        <v>0</v>
      </c>
      <c r="P266" s="4">
        <v>0</v>
      </c>
      <c r="Q266" s="4">
        <v>5</v>
      </c>
      <c r="R266" s="4">
        <v>0</v>
      </c>
      <c r="S266" s="4">
        <v>17.5</v>
      </c>
      <c r="T266" s="2" t="s">
        <v>2202</v>
      </c>
      <c r="U266" s="2" t="s">
        <v>1037</v>
      </c>
      <c r="V266" s="2" t="s">
        <v>2</v>
      </c>
      <c r="W266" s="2" t="s">
        <v>2</v>
      </c>
    </row>
    <row r="267" spans="1:23" ht="24" customHeight="1" x14ac:dyDescent="0.3">
      <c r="A267" s="2" t="s">
        <v>837</v>
      </c>
      <c r="B267" s="11"/>
      <c r="C267" s="11"/>
      <c r="D267" s="2" t="s">
        <v>2203</v>
      </c>
      <c r="E267" s="2" t="s">
        <v>2204</v>
      </c>
      <c r="F267" s="2" t="s">
        <v>2205</v>
      </c>
      <c r="G267" s="2" t="s">
        <v>2206</v>
      </c>
      <c r="H267" s="2" t="s">
        <v>2</v>
      </c>
      <c r="I267" s="2" t="s">
        <v>2</v>
      </c>
      <c r="J267" s="2" t="s">
        <v>2</v>
      </c>
      <c r="K267" s="3">
        <v>13</v>
      </c>
      <c r="L267" s="3">
        <v>0</v>
      </c>
      <c r="M267" s="3">
        <v>0</v>
      </c>
      <c r="N267" s="3">
        <v>0</v>
      </c>
      <c r="O267" s="4">
        <v>12.5</v>
      </c>
      <c r="P267" s="4">
        <v>0</v>
      </c>
      <c r="Q267" s="4">
        <v>0</v>
      </c>
      <c r="R267" s="4">
        <v>0</v>
      </c>
      <c r="S267" s="4">
        <v>8936</v>
      </c>
      <c r="T267" s="2" t="s">
        <v>2207</v>
      </c>
      <c r="U267" s="2" t="s">
        <v>2208</v>
      </c>
      <c r="V267" s="2" t="s">
        <v>2</v>
      </c>
      <c r="W267" s="2" t="s">
        <v>2</v>
      </c>
    </row>
    <row r="268" spans="1:23" ht="24" customHeight="1" x14ac:dyDescent="0.3">
      <c r="A268" s="2" t="s">
        <v>838</v>
      </c>
      <c r="B268" s="11"/>
      <c r="C268" s="11"/>
      <c r="D268" s="2" t="s">
        <v>2209</v>
      </c>
      <c r="E268" s="2" t="s">
        <v>2210</v>
      </c>
      <c r="F268" s="2" t="s">
        <v>2211</v>
      </c>
      <c r="G268" s="2" t="s">
        <v>2</v>
      </c>
      <c r="H268" s="2" t="s">
        <v>2</v>
      </c>
      <c r="I268" s="2" t="s">
        <v>2</v>
      </c>
      <c r="J268" s="2" t="s">
        <v>28</v>
      </c>
      <c r="K268" s="3">
        <v>0</v>
      </c>
      <c r="L268" s="3">
        <v>0</v>
      </c>
      <c r="M268" s="3">
        <v>0</v>
      </c>
      <c r="N268" s="3">
        <v>2</v>
      </c>
      <c r="O268" s="4">
        <v>0</v>
      </c>
      <c r="P268" s="4">
        <v>0</v>
      </c>
      <c r="Q268" s="4">
        <v>0</v>
      </c>
      <c r="R268" s="4">
        <v>3</v>
      </c>
      <c r="S268" s="4">
        <v>0</v>
      </c>
      <c r="T268" s="2" t="s">
        <v>2212</v>
      </c>
      <c r="U268" s="2" t="s">
        <v>970</v>
      </c>
      <c r="V268" s="2" t="s">
        <v>2</v>
      </c>
      <c r="W268" s="2" t="s">
        <v>1858</v>
      </c>
    </row>
    <row r="269" spans="1:23" ht="24" customHeight="1" x14ac:dyDescent="0.3">
      <c r="A269" s="2" t="s">
        <v>839</v>
      </c>
      <c r="B269" s="11"/>
      <c r="C269" s="11"/>
      <c r="D269" s="2" t="s">
        <v>2213</v>
      </c>
      <c r="E269" s="2" t="s">
        <v>2214</v>
      </c>
      <c r="F269" s="2" t="s">
        <v>2215</v>
      </c>
      <c r="G269" s="2" t="s">
        <v>2</v>
      </c>
      <c r="H269" s="2" t="s">
        <v>2</v>
      </c>
      <c r="I269" s="2" t="s">
        <v>2</v>
      </c>
      <c r="J269" s="2" t="s">
        <v>28</v>
      </c>
      <c r="K269" s="3">
        <v>0</v>
      </c>
      <c r="L269" s="3">
        <v>0</v>
      </c>
      <c r="M269" s="3">
        <v>0</v>
      </c>
      <c r="N269" s="3">
        <v>2</v>
      </c>
      <c r="O269" s="4">
        <v>0</v>
      </c>
      <c r="P269" s="4">
        <v>0</v>
      </c>
      <c r="Q269" s="4">
        <v>0</v>
      </c>
      <c r="R269" s="4">
        <v>44.5</v>
      </c>
      <c r="S269" s="4">
        <v>1915</v>
      </c>
      <c r="T269" s="2" t="s">
        <v>2216</v>
      </c>
      <c r="U269" s="2" t="s">
        <v>2217</v>
      </c>
      <c r="V269" s="2" t="s">
        <v>2</v>
      </c>
      <c r="W269" s="2" t="s">
        <v>2</v>
      </c>
    </row>
    <row r="270" spans="1:23" ht="24" customHeight="1" x14ac:dyDescent="0.3">
      <c r="A270" s="2" t="s">
        <v>840</v>
      </c>
      <c r="B270" s="11"/>
      <c r="C270" s="11"/>
      <c r="D270" s="2" t="s">
        <v>2218</v>
      </c>
      <c r="E270" s="2" t="s">
        <v>2219</v>
      </c>
      <c r="F270" s="2" t="s">
        <v>2220</v>
      </c>
      <c r="G270" s="2" t="s">
        <v>2</v>
      </c>
      <c r="H270" s="2" t="s">
        <v>2</v>
      </c>
      <c r="I270" s="2" t="s">
        <v>27</v>
      </c>
      <c r="J270" s="2" t="s">
        <v>2</v>
      </c>
      <c r="K270" s="3">
        <v>0</v>
      </c>
      <c r="L270" s="3">
        <v>0</v>
      </c>
      <c r="M270" s="3">
        <v>3</v>
      </c>
      <c r="N270" s="3">
        <v>0</v>
      </c>
      <c r="O270" s="4">
        <v>0</v>
      </c>
      <c r="P270" s="4">
        <v>0</v>
      </c>
      <c r="Q270" s="4">
        <v>8</v>
      </c>
      <c r="R270" s="4">
        <v>0</v>
      </c>
      <c r="S270" s="4">
        <v>0</v>
      </c>
      <c r="T270" s="2" t="s">
        <v>2221</v>
      </c>
      <c r="U270" s="2" t="s">
        <v>2222</v>
      </c>
      <c r="V270" s="2" t="s">
        <v>2</v>
      </c>
      <c r="W270" s="2" t="s">
        <v>980</v>
      </c>
    </row>
    <row r="271" spans="1:23" ht="24" customHeight="1" x14ac:dyDescent="0.3">
      <c r="A271" s="2" t="s">
        <v>841</v>
      </c>
      <c r="B271" s="11"/>
      <c r="C271" s="11"/>
      <c r="D271" s="2" t="s">
        <v>2223</v>
      </c>
      <c r="E271" s="2" t="s">
        <v>2224</v>
      </c>
      <c r="F271" s="2" t="s">
        <v>2225</v>
      </c>
      <c r="G271" s="2" t="s">
        <v>2</v>
      </c>
      <c r="H271" s="2" t="s">
        <v>2</v>
      </c>
      <c r="I271" s="2" t="s">
        <v>2</v>
      </c>
      <c r="J271" s="2" t="s">
        <v>28</v>
      </c>
      <c r="K271" s="3">
        <v>0</v>
      </c>
      <c r="L271" s="3">
        <v>0</v>
      </c>
      <c r="M271" s="3">
        <v>0</v>
      </c>
      <c r="N271" s="3">
        <v>2</v>
      </c>
      <c r="O271" s="4">
        <v>0</v>
      </c>
      <c r="P271" s="4">
        <v>0</v>
      </c>
      <c r="Q271" s="4">
        <v>0</v>
      </c>
      <c r="R271" s="4">
        <v>3</v>
      </c>
      <c r="S271" s="4">
        <v>0</v>
      </c>
      <c r="T271" s="2" t="s">
        <v>2226</v>
      </c>
      <c r="U271" s="2" t="s">
        <v>2227</v>
      </c>
      <c r="V271" s="2" t="s">
        <v>2</v>
      </c>
      <c r="W271" s="2" t="s">
        <v>1858</v>
      </c>
    </row>
    <row r="272" spans="1:23" ht="24" customHeight="1" x14ac:dyDescent="0.3">
      <c r="A272" s="2" t="s">
        <v>842</v>
      </c>
      <c r="B272" s="11"/>
      <c r="C272" s="11"/>
      <c r="D272" s="2" t="s">
        <v>1464</v>
      </c>
      <c r="E272" s="2" t="s">
        <v>1465</v>
      </c>
      <c r="F272" s="2" t="s">
        <v>2225</v>
      </c>
      <c r="G272" s="2" t="s">
        <v>2</v>
      </c>
      <c r="H272" s="2" t="s">
        <v>2</v>
      </c>
      <c r="I272" s="2" t="s">
        <v>2</v>
      </c>
      <c r="J272" s="2" t="s">
        <v>28</v>
      </c>
      <c r="K272" s="3">
        <v>0</v>
      </c>
      <c r="L272" s="3">
        <v>0</v>
      </c>
      <c r="M272" s="3">
        <v>0</v>
      </c>
      <c r="N272" s="3">
        <v>2</v>
      </c>
      <c r="O272" s="4">
        <v>0</v>
      </c>
      <c r="P272" s="4">
        <v>0</v>
      </c>
      <c r="Q272" s="4">
        <v>0</v>
      </c>
      <c r="R272" s="4">
        <v>3</v>
      </c>
      <c r="S272" s="4">
        <v>0</v>
      </c>
      <c r="T272" s="2" t="s">
        <v>2228</v>
      </c>
      <c r="U272" s="2" t="s">
        <v>2229</v>
      </c>
      <c r="V272" s="2" t="s">
        <v>2</v>
      </c>
      <c r="W272" s="2" t="s">
        <v>1858</v>
      </c>
    </row>
    <row r="273" spans="1:23" ht="24" customHeight="1" x14ac:dyDescent="0.3">
      <c r="A273" s="2" t="s">
        <v>844</v>
      </c>
      <c r="B273" s="11"/>
      <c r="C273" s="11"/>
      <c r="D273" s="2" t="s">
        <v>2230</v>
      </c>
      <c r="E273" s="2" t="s">
        <v>2231</v>
      </c>
      <c r="F273" s="2" t="s">
        <v>2232</v>
      </c>
      <c r="G273" s="2" t="s">
        <v>2</v>
      </c>
      <c r="H273" s="2" t="s">
        <v>2</v>
      </c>
      <c r="I273" s="2" t="s">
        <v>2</v>
      </c>
      <c r="J273" s="2" t="s">
        <v>28</v>
      </c>
      <c r="K273" s="3">
        <v>0</v>
      </c>
      <c r="L273" s="3">
        <v>0</v>
      </c>
      <c r="M273" s="3">
        <v>0</v>
      </c>
      <c r="N273" s="3">
        <v>2</v>
      </c>
      <c r="O273" s="4">
        <v>0</v>
      </c>
      <c r="P273" s="4">
        <v>0</v>
      </c>
      <c r="Q273" s="4">
        <v>0</v>
      </c>
      <c r="R273" s="4">
        <v>3</v>
      </c>
      <c r="S273" s="4">
        <v>0</v>
      </c>
      <c r="T273" s="2" t="s">
        <v>2233</v>
      </c>
      <c r="U273" s="2" t="s">
        <v>2234</v>
      </c>
      <c r="V273" s="2" t="s">
        <v>2</v>
      </c>
      <c r="W273" s="2" t="s">
        <v>1858</v>
      </c>
    </row>
    <row r="274" spans="1:23" ht="24" customHeight="1" x14ac:dyDescent="0.3">
      <c r="A274" s="2" t="s">
        <v>845</v>
      </c>
      <c r="B274" s="11"/>
      <c r="C274" s="11"/>
      <c r="D274" s="2" t="s">
        <v>2235</v>
      </c>
      <c r="E274" s="2" t="s">
        <v>2236</v>
      </c>
      <c r="F274" s="2" t="s">
        <v>2237</v>
      </c>
      <c r="G274" s="2" t="s">
        <v>2</v>
      </c>
      <c r="H274" s="2" t="s">
        <v>2</v>
      </c>
      <c r="I274" s="2" t="s">
        <v>2</v>
      </c>
      <c r="J274" s="2" t="s">
        <v>28</v>
      </c>
      <c r="K274" s="3">
        <v>0</v>
      </c>
      <c r="L274" s="3">
        <v>0</v>
      </c>
      <c r="M274" s="3">
        <v>0</v>
      </c>
      <c r="N274" s="3">
        <v>2</v>
      </c>
      <c r="O274" s="4">
        <v>0</v>
      </c>
      <c r="P274" s="4">
        <v>0</v>
      </c>
      <c r="Q274" s="4">
        <v>0</v>
      </c>
      <c r="R274" s="4">
        <v>3</v>
      </c>
      <c r="S274" s="4">
        <v>0</v>
      </c>
      <c r="T274" s="2" t="s">
        <v>2238</v>
      </c>
      <c r="U274" s="2" t="s">
        <v>966</v>
      </c>
      <c r="V274" s="2" t="s">
        <v>2</v>
      </c>
      <c r="W274" s="2" t="s">
        <v>1858</v>
      </c>
    </row>
    <row r="275" spans="1:23" ht="24" customHeight="1" x14ac:dyDescent="0.3">
      <c r="A275" s="2" t="s">
        <v>846</v>
      </c>
      <c r="B275" s="11"/>
      <c r="C275" s="11"/>
      <c r="D275" s="2" t="s">
        <v>2239</v>
      </c>
      <c r="E275" s="2" t="s">
        <v>2240</v>
      </c>
      <c r="F275" s="2" t="s">
        <v>2241</v>
      </c>
      <c r="G275" s="2" t="s">
        <v>2</v>
      </c>
      <c r="H275" s="2" t="s">
        <v>2</v>
      </c>
      <c r="I275" s="2" t="s">
        <v>27</v>
      </c>
      <c r="J275" s="2" t="s">
        <v>2</v>
      </c>
      <c r="K275" s="3">
        <v>0</v>
      </c>
      <c r="L275" s="3">
        <v>0</v>
      </c>
      <c r="M275" s="3">
        <v>3</v>
      </c>
      <c r="N275" s="3">
        <v>0</v>
      </c>
      <c r="O275" s="4">
        <v>0</v>
      </c>
      <c r="P275" s="4">
        <v>0</v>
      </c>
      <c r="Q275" s="4">
        <v>30</v>
      </c>
      <c r="R275" s="4">
        <v>0</v>
      </c>
      <c r="S275" s="4">
        <v>0</v>
      </c>
      <c r="T275" s="2" t="s">
        <v>2</v>
      </c>
      <c r="U275" s="2" t="s">
        <v>2242</v>
      </c>
      <c r="V275" s="2" t="s">
        <v>2</v>
      </c>
      <c r="W275" s="2" t="s">
        <v>1858</v>
      </c>
    </row>
    <row r="276" spans="1:23" ht="24" customHeight="1" x14ac:dyDescent="0.3">
      <c r="A276" s="2" t="s">
        <v>847</v>
      </c>
      <c r="B276" s="11"/>
      <c r="C276" s="11"/>
      <c r="D276" s="2" t="s">
        <v>2243</v>
      </c>
      <c r="E276" s="2" t="s">
        <v>2244</v>
      </c>
      <c r="F276" s="2" t="s">
        <v>2245</v>
      </c>
      <c r="G276" s="2" t="s">
        <v>2</v>
      </c>
      <c r="H276" s="2" t="s">
        <v>2</v>
      </c>
      <c r="I276" s="2" t="s">
        <v>2</v>
      </c>
      <c r="J276" s="2" t="s">
        <v>28</v>
      </c>
      <c r="K276" s="3">
        <v>0</v>
      </c>
      <c r="L276" s="3">
        <v>0</v>
      </c>
      <c r="M276" s="3">
        <v>0</v>
      </c>
      <c r="N276" s="3">
        <v>2</v>
      </c>
      <c r="O276" s="4">
        <v>0</v>
      </c>
      <c r="P276" s="4">
        <v>0</v>
      </c>
      <c r="Q276" s="4">
        <v>0</v>
      </c>
      <c r="R276" s="4">
        <v>10</v>
      </c>
      <c r="S276" s="4">
        <v>26.1</v>
      </c>
      <c r="T276" s="2" t="s">
        <v>2</v>
      </c>
      <c r="U276" s="2" t="s">
        <v>2246</v>
      </c>
      <c r="V276" s="2" t="s">
        <v>2</v>
      </c>
      <c r="W276" s="2" t="s">
        <v>2</v>
      </c>
    </row>
    <row r="277" spans="1:23" ht="24" customHeight="1" x14ac:dyDescent="0.3">
      <c r="A277" s="2" t="s">
        <v>848</v>
      </c>
      <c r="B277" s="11"/>
      <c r="C277" s="11" t="s">
        <v>403</v>
      </c>
      <c r="D277" s="2" t="s">
        <v>2247</v>
      </c>
      <c r="E277" s="2" t="s">
        <v>2248</v>
      </c>
      <c r="F277" s="2" t="s">
        <v>2249</v>
      </c>
      <c r="G277" s="2" t="s">
        <v>26</v>
      </c>
      <c r="H277" s="2" t="s">
        <v>196</v>
      </c>
      <c r="I277" s="2" t="s">
        <v>2</v>
      </c>
      <c r="J277" s="2" t="s">
        <v>2</v>
      </c>
      <c r="K277" s="3">
        <v>12</v>
      </c>
      <c r="L277" s="3">
        <v>6</v>
      </c>
      <c r="M277" s="3">
        <v>0</v>
      </c>
      <c r="N277" s="3">
        <v>0</v>
      </c>
      <c r="O277" s="4">
        <v>55</v>
      </c>
      <c r="P277" s="4">
        <v>18</v>
      </c>
      <c r="Q277" s="4">
        <v>0</v>
      </c>
      <c r="R277" s="4">
        <v>0</v>
      </c>
      <c r="S277" s="4">
        <v>8879</v>
      </c>
      <c r="T277" s="2" t="s">
        <v>2250</v>
      </c>
      <c r="U277" s="2" t="s">
        <v>2251</v>
      </c>
      <c r="V277" s="2" t="s">
        <v>2</v>
      </c>
      <c r="W277" s="2" t="s">
        <v>2</v>
      </c>
    </row>
    <row r="278" spans="1:23" ht="24" customHeight="1" x14ac:dyDescent="0.3">
      <c r="A278" s="2" t="s">
        <v>849</v>
      </c>
      <c r="B278" s="11"/>
      <c r="C278" s="11"/>
      <c r="D278" s="2" t="s">
        <v>2252</v>
      </c>
      <c r="E278" s="2" t="s">
        <v>2253</v>
      </c>
      <c r="F278" s="2" t="s">
        <v>2254</v>
      </c>
      <c r="G278" s="2" t="s">
        <v>26</v>
      </c>
      <c r="H278" s="2" t="s">
        <v>196</v>
      </c>
      <c r="I278" s="2" t="s">
        <v>2</v>
      </c>
      <c r="J278" s="2" t="s">
        <v>2</v>
      </c>
      <c r="K278" s="3">
        <v>13</v>
      </c>
      <c r="L278" s="3">
        <v>3</v>
      </c>
      <c r="M278" s="3">
        <v>0</v>
      </c>
      <c r="N278" s="3">
        <v>0</v>
      </c>
      <c r="O278" s="4">
        <v>60</v>
      </c>
      <c r="P278" s="4">
        <v>12</v>
      </c>
      <c r="Q278" s="4">
        <v>0</v>
      </c>
      <c r="R278" s="4">
        <v>0</v>
      </c>
      <c r="S278" s="4">
        <v>8772.7999999999993</v>
      </c>
      <c r="T278" s="2" t="s">
        <v>2255</v>
      </c>
      <c r="U278" s="2" t="s">
        <v>2251</v>
      </c>
      <c r="V278" s="2" t="s">
        <v>2</v>
      </c>
      <c r="W278" s="2" t="s">
        <v>2</v>
      </c>
    </row>
    <row r="279" spans="1:23" ht="24" customHeight="1" x14ac:dyDescent="0.3">
      <c r="A279" s="2" t="s">
        <v>850</v>
      </c>
      <c r="B279" s="11"/>
      <c r="C279" s="11"/>
      <c r="D279" s="2" t="s">
        <v>2256</v>
      </c>
      <c r="E279" s="2" t="s">
        <v>1166</v>
      </c>
      <c r="F279" s="2" t="s">
        <v>2257</v>
      </c>
      <c r="G279" s="2" t="s">
        <v>26</v>
      </c>
      <c r="H279" s="2" t="s">
        <v>196</v>
      </c>
      <c r="I279" s="2" t="s">
        <v>2</v>
      </c>
      <c r="J279" s="2" t="s">
        <v>2</v>
      </c>
      <c r="K279" s="3">
        <v>22</v>
      </c>
      <c r="L279" s="3">
        <v>2</v>
      </c>
      <c r="M279" s="3">
        <v>0</v>
      </c>
      <c r="N279" s="3">
        <v>0</v>
      </c>
      <c r="O279" s="4">
        <v>100</v>
      </c>
      <c r="P279" s="4">
        <v>9</v>
      </c>
      <c r="Q279" s="4">
        <v>0</v>
      </c>
      <c r="R279" s="4">
        <v>0</v>
      </c>
      <c r="S279" s="4">
        <v>12408.7</v>
      </c>
      <c r="T279" s="2" t="s">
        <v>2258</v>
      </c>
      <c r="U279" s="2" t="s">
        <v>2259</v>
      </c>
      <c r="V279" s="2" t="s">
        <v>2</v>
      </c>
      <c r="W279" s="2" t="s">
        <v>2</v>
      </c>
    </row>
    <row r="280" spans="1:23" ht="24" customHeight="1" x14ac:dyDescent="0.3">
      <c r="A280" s="2" t="s">
        <v>852</v>
      </c>
      <c r="B280" s="11"/>
      <c r="C280" s="11"/>
      <c r="D280" s="2" t="s">
        <v>2260</v>
      </c>
      <c r="E280" s="2" t="s">
        <v>2261</v>
      </c>
      <c r="F280" s="2" t="s">
        <v>2262</v>
      </c>
      <c r="G280" s="2" t="s">
        <v>26</v>
      </c>
      <c r="H280" s="2" t="s">
        <v>2</v>
      </c>
      <c r="I280" s="2" t="s">
        <v>2</v>
      </c>
      <c r="J280" s="2" t="s">
        <v>2</v>
      </c>
      <c r="K280" s="3">
        <v>6</v>
      </c>
      <c r="L280" s="3">
        <v>0</v>
      </c>
      <c r="M280" s="3">
        <v>0</v>
      </c>
      <c r="N280" s="3">
        <v>0</v>
      </c>
      <c r="O280" s="4">
        <v>40</v>
      </c>
      <c r="P280" s="4">
        <v>0</v>
      </c>
      <c r="Q280" s="4">
        <v>0</v>
      </c>
      <c r="R280" s="4">
        <v>0</v>
      </c>
      <c r="S280" s="4">
        <v>2095.4</v>
      </c>
      <c r="T280" s="2" t="s">
        <v>2263</v>
      </c>
      <c r="U280" s="2" t="s">
        <v>2251</v>
      </c>
      <c r="V280" s="2" t="s">
        <v>2</v>
      </c>
      <c r="W280" s="2" t="s">
        <v>2</v>
      </c>
    </row>
    <row r="281" spans="1:23" ht="24" customHeight="1" x14ac:dyDescent="0.3">
      <c r="A281" s="2" t="s">
        <v>853</v>
      </c>
      <c r="B281" s="11"/>
      <c r="C281" s="11"/>
      <c r="D281" s="2" t="s">
        <v>2264</v>
      </c>
      <c r="E281" s="2" t="s">
        <v>2265</v>
      </c>
      <c r="F281" s="2" t="s">
        <v>2266</v>
      </c>
      <c r="G281" s="2" t="s">
        <v>26</v>
      </c>
      <c r="H281" s="2" t="s">
        <v>196</v>
      </c>
      <c r="I281" s="2" t="s">
        <v>2</v>
      </c>
      <c r="J281" s="2" t="s">
        <v>2</v>
      </c>
      <c r="K281" s="3">
        <v>30</v>
      </c>
      <c r="L281" s="3">
        <v>4</v>
      </c>
      <c r="M281" s="3">
        <v>0</v>
      </c>
      <c r="N281" s="3">
        <v>0</v>
      </c>
      <c r="O281" s="4">
        <v>115</v>
      </c>
      <c r="P281" s="4">
        <v>15</v>
      </c>
      <c r="Q281" s="4">
        <v>0</v>
      </c>
      <c r="R281" s="4">
        <v>0</v>
      </c>
      <c r="S281" s="4">
        <v>16766.900000000001</v>
      </c>
      <c r="T281" s="2" t="s">
        <v>2267</v>
      </c>
      <c r="U281" s="2" t="s">
        <v>2251</v>
      </c>
      <c r="V281" s="2" t="s">
        <v>2</v>
      </c>
      <c r="W281" s="2" t="s">
        <v>2</v>
      </c>
    </row>
    <row r="282" spans="1:23" ht="24" customHeight="1" x14ac:dyDescent="0.3">
      <c r="A282" s="2" t="s">
        <v>854</v>
      </c>
      <c r="B282" s="11"/>
      <c r="C282" s="11"/>
      <c r="D282" s="2" t="s">
        <v>2268</v>
      </c>
      <c r="E282" s="2" t="s">
        <v>2269</v>
      </c>
      <c r="F282" s="2" t="s">
        <v>2270</v>
      </c>
      <c r="G282" s="2" t="s">
        <v>2</v>
      </c>
      <c r="H282" s="2" t="s">
        <v>2</v>
      </c>
      <c r="I282" s="2" t="s">
        <v>2271</v>
      </c>
      <c r="J282" s="2" t="s">
        <v>2</v>
      </c>
      <c r="K282" s="3">
        <v>0</v>
      </c>
      <c r="L282" s="3">
        <v>0</v>
      </c>
      <c r="M282" s="3">
        <v>3</v>
      </c>
      <c r="N282" s="3">
        <v>0</v>
      </c>
      <c r="O282" s="4">
        <v>0</v>
      </c>
      <c r="P282" s="4">
        <v>0</v>
      </c>
      <c r="Q282" s="4">
        <v>7.1</v>
      </c>
      <c r="R282" s="4">
        <v>0</v>
      </c>
      <c r="S282" s="4">
        <v>927.5</v>
      </c>
      <c r="T282" s="2" t="s">
        <v>2</v>
      </c>
      <c r="U282" s="2" t="s">
        <v>2272</v>
      </c>
      <c r="V282" s="2" t="s">
        <v>2</v>
      </c>
      <c r="W282" s="2" t="s">
        <v>2</v>
      </c>
    </row>
    <row r="283" spans="1:23" ht="24" customHeight="1" x14ac:dyDescent="0.3">
      <c r="A283" s="2" t="s">
        <v>855</v>
      </c>
      <c r="B283" s="11"/>
      <c r="C283" s="11"/>
      <c r="D283" s="2" t="s">
        <v>2273</v>
      </c>
      <c r="E283" s="2" t="s">
        <v>2274</v>
      </c>
      <c r="F283" s="2" t="s">
        <v>2275</v>
      </c>
      <c r="G283" s="2" t="s">
        <v>2</v>
      </c>
      <c r="H283" s="2" t="s">
        <v>2</v>
      </c>
      <c r="I283" s="2" t="s">
        <v>2</v>
      </c>
      <c r="J283" s="2" t="s">
        <v>2276</v>
      </c>
      <c r="K283" s="3">
        <v>0</v>
      </c>
      <c r="L283" s="3">
        <v>0</v>
      </c>
      <c r="M283" s="3">
        <v>0</v>
      </c>
      <c r="N283" s="3">
        <v>2</v>
      </c>
      <c r="O283" s="4">
        <v>0</v>
      </c>
      <c r="P283" s="4">
        <v>0</v>
      </c>
      <c r="Q283" s="4">
        <v>0</v>
      </c>
      <c r="R283" s="4">
        <v>2.8</v>
      </c>
      <c r="S283" s="4">
        <v>0</v>
      </c>
      <c r="T283" s="2" t="s">
        <v>2</v>
      </c>
      <c r="U283" s="2" t="s">
        <v>2277</v>
      </c>
      <c r="V283" s="2" t="s">
        <v>2</v>
      </c>
      <c r="W283" s="2" t="s">
        <v>2</v>
      </c>
    </row>
    <row r="284" spans="1:23" ht="24" customHeight="1" x14ac:dyDescent="0.3">
      <c r="A284" s="2" t="s">
        <v>856</v>
      </c>
      <c r="B284" s="11"/>
      <c r="C284" s="11"/>
      <c r="D284" s="2" t="s">
        <v>2278</v>
      </c>
      <c r="E284" s="2" t="s">
        <v>2279</v>
      </c>
      <c r="F284" s="2" t="s">
        <v>2280</v>
      </c>
      <c r="G284" s="2" t="s">
        <v>2</v>
      </c>
      <c r="H284" s="2" t="s">
        <v>2</v>
      </c>
      <c r="I284" s="2" t="s">
        <v>2</v>
      </c>
      <c r="J284" s="2" t="s">
        <v>2281</v>
      </c>
      <c r="K284" s="3">
        <v>0</v>
      </c>
      <c r="L284" s="3">
        <v>0</v>
      </c>
      <c r="M284" s="3">
        <v>0</v>
      </c>
      <c r="N284" s="3">
        <v>3</v>
      </c>
      <c r="O284" s="4">
        <v>0</v>
      </c>
      <c r="P284" s="4">
        <v>0</v>
      </c>
      <c r="Q284" s="4">
        <v>0</v>
      </c>
      <c r="R284" s="4">
        <v>5</v>
      </c>
      <c r="S284" s="4">
        <v>4.9000000000000004</v>
      </c>
      <c r="T284" s="2" t="s">
        <v>2</v>
      </c>
      <c r="U284" s="2" t="s">
        <v>587</v>
      </c>
      <c r="V284" s="2" t="s">
        <v>2</v>
      </c>
      <c r="W284" s="2" t="s">
        <v>2</v>
      </c>
    </row>
    <row r="285" spans="1:23" ht="24" customHeight="1" x14ac:dyDescent="0.3">
      <c r="A285" s="2" t="s">
        <v>858</v>
      </c>
      <c r="B285" s="11"/>
      <c r="C285" s="11"/>
      <c r="D285" s="2" t="s">
        <v>2282</v>
      </c>
      <c r="E285" s="2" t="s">
        <v>2283</v>
      </c>
      <c r="F285" s="2" t="s">
        <v>2284</v>
      </c>
      <c r="G285" s="2" t="s">
        <v>2</v>
      </c>
      <c r="H285" s="2" t="s">
        <v>2</v>
      </c>
      <c r="I285" s="2" t="s">
        <v>2</v>
      </c>
      <c r="J285" s="2" t="s">
        <v>2285</v>
      </c>
      <c r="K285" s="3">
        <v>0</v>
      </c>
      <c r="L285" s="3">
        <v>0</v>
      </c>
      <c r="M285" s="3">
        <v>0</v>
      </c>
      <c r="N285" s="3">
        <v>2</v>
      </c>
      <c r="O285" s="4">
        <v>0</v>
      </c>
      <c r="P285" s="4">
        <v>0</v>
      </c>
      <c r="Q285" s="4">
        <v>0</v>
      </c>
      <c r="R285" s="4">
        <v>3.6</v>
      </c>
      <c r="S285" s="4">
        <v>761.6</v>
      </c>
      <c r="T285" s="2" t="s">
        <v>2286</v>
      </c>
      <c r="U285" s="2" t="s">
        <v>974</v>
      </c>
      <c r="V285" s="2" t="s">
        <v>2</v>
      </c>
      <c r="W285" s="2" t="s">
        <v>2</v>
      </c>
    </row>
    <row r="286" spans="1:23" ht="24" customHeight="1" x14ac:dyDescent="0.3">
      <c r="A286" s="2" t="s">
        <v>858</v>
      </c>
      <c r="B286" s="11"/>
      <c r="C286" s="11"/>
      <c r="D286" s="2" t="s">
        <v>2282</v>
      </c>
      <c r="E286" s="2" t="s">
        <v>2283</v>
      </c>
      <c r="F286" s="2" t="s">
        <v>2284</v>
      </c>
      <c r="G286" s="2" t="s">
        <v>2</v>
      </c>
      <c r="H286" s="2" t="s">
        <v>2</v>
      </c>
      <c r="I286" s="2" t="s">
        <v>2287</v>
      </c>
      <c r="J286" s="2" t="s">
        <v>2</v>
      </c>
      <c r="K286" s="3">
        <v>0</v>
      </c>
      <c r="L286" s="3">
        <v>0</v>
      </c>
      <c r="M286" s="3">
        <v>6</v>
      </c>
      <c r="N286" s="3">
        <v>0</v>
      </c>
      <c r="O286" s="4">
        <v>0</v>
      </c>
      <c r="P286" s="4">
        <v>0</v>
      </c>
      <c r="Q286" s="4">
        <v>15.7</v>
      </c>
      <c r="R286" s="4">
        <v>0</v>
      </c>
      <c r="S286" s="4">
        <v>761.6</v>
      </c>
      <c r="T286" s="2" t="s">
        <v>2286</v>
      </c>
      <c r="U286" s="2" t="s">
        <v>2288</v>
      </c>
      <c r="V286" s="2" t="s">
        <v>2</v>
      </c>
      <c r="W286" s="2" t="s">
        <v>2</v>
      </c>
    </row>
    <row r="287" spans="1:23" ht="24" customHeight="1" x14ac:dyDescent="0.3">
      <c r="A287" s="2" t="s">
        <v>859</v>
      </c>
      <c r="B287" s="11"/>
      <c r="C287" s="11"/>
      <c r="D287" s="2" t="s">
        <v>2289</v>
      </c>
      <c r="E287" s="2" t="s">
        <v>2290</v>
      </c>
      <c r="F287" s="2" t="s">
        <v>2291</v>
      </c>
      <c r="G287" s="2" t="s">
        <v>2</v>
      </c>
      <c r="H287" s="2" t="s">
        <v>2</v>
      </c>
      <c r="I287" s="2" t="s">
        <v>2</v>
      </c>
      <c r="J287" s="2" t="s">
        <v>2292</v>
      </c>
      <c r="K287" s="3">
        <v>0</v>
      </c>
      <c r="L287" s="3">
        <v>0</v>
      </c>
      <c r="M287" s="3">
        <v>0</v>
      </c>
      <c r="N287" s="3">
        <v>2</v>
      </c>
      <c r="O287" s="4">
        <v>0</v>
      </c>
      <c r="P287" s="4">
        <v>0</v>
      </c>
      <c r="Q287" s="4">
        <v>0</v>
      </c>
      <c r="R287" s="4">
        <v>3</v>
      </c>
      <c r="S287" s="4">
        <v>26.9</v>
      </c>
      <c r="T287" s="2" t="s">
        <v>2</v>
      </c>
      <c r="U287" s="2" t="s">
        <v>2293</v>
      </c>
      <c r="V287" s="2" t="s">
        <v>2</v>
      </c>
      <c r="W287" s="2" t="s">
        <v>2</v>
      </c>
    </row>
    <row r="288" spans="1:23" ht="24" customHeight="1" x14ac:dyDescent="0.3">
      <c r="A288" s="2" t="s">
        <v>861</v>
      </c>
      <c r="B288" s="11"/>
      <c r="C288" s="11"/>
      <c r="D288" s="2" t="s">
        <v>1099</v>
      </c>
      <c r="E288" s="2" t="s">
        <v>2294</v>
      </c>
      <c r="F288" s="2" t="s">
        <v>2295</v>
      </c>
      <c r="G288" s="2" t="s">
        <v>2</v>
      </c>
      <c r="H288" s="2" t="s">
        <v>2</v>
      </c>
      <c r="I288" s="2" t="s">
        <v>2</v>
      </c>
      <c r="J288" s="2" t="s">
        <v>2292</v>
      </c>
      <c r="K288" s="3">
        <v>0</v>
      </c>
      <c r="L288" s="3">
        <v>0</v>
      </c>
      <c r="M288" s="3">
        <v>0</v>
      </c>
      <c r="N288" s="3">
        <v>2</v>
      </c>
      <c r="O288" s="4">
        <v>0</v>
      </c>
      <c r="P288" s="4">
        <v>0</v>
      </c>
      <c r="Q288" s="4">
        <v>0</v>
      </c>
      <c r="R288" s="4">
        <v>4.5999999999999996</v>
      </c>
      <c r="S288" s="4">
        <v>0</v>
      </c>
      <c r="T288" s="2" t="s">
        <v>2</v>
      </c>
      <c r="U288" s="2" t="s">
        <v>2296</v>
      </c>
      <c r="V288" s="2" t="s">
        <v>2</v>
      </c>
      <c r="W288" s="2" t="s">
        <v>2</v>
      </c>
    </row>
    <row r="289" spans="1:23" ht="24" customHeight="1" x14ac:dyDescent="0.3">
      <c r="A289" s="2" t="s">
        <v>862</v>
      </c>
      <c r="B289" s="11"/>
      <c r="C289" s="11"/>
      <c r="D289" s="2" t="s">
        <v>2297</v>
      </c>
      <c r="E289" s="2" t="s">
        <v>2298</v>
      </c>
      <c r="F289" s="2" t="s">
        <v>2299</v>
      </c>
      <c r="G289" s="2" t="s">
        <v>2</v>
      </c>
      <c r="H289" s="2" t="s">
        <v>2</v>
      </c>
      <c r="I289" s="2" t="s">
        <v>2</v>
      </c>
      <c r="J289" s="2" t="s">
        <v>1008</v>
      </c>
      <c r="K289" s="3">
        <v>0</v>
      </c>
      <c r="L289" s="3">
        <v>0</v>
      </c>
      <c r="M289" s="3">
        <v>0</v>
      </c>
      <c r="N289" s="3">
        <v>2</v>
      </c>
      <c r="O289" s="4">
        <v>0</v>
      </c>
      <c r="P289" s="4">
        <v>0</v>
      </c>
      <c r="Q289" s="4">
        <v>0</v>
      </c>
      <c r="R289" s="4">
        <v>3</v>
      </c>
      <c r="S289" s="4">
        <v>5.3</v>
      </c>
      <c r="T289" s="2" t="s">
        <v>2300</v>
      </c>
      <c r="U289" s="2" t="s">
        <v>2301</v>
      </c>
      <c r="V289" s="2" t="s">
        <v>2</v>
      </c>
      <c r="W289" s="2" t="s">
        <v>2</v>
      </c>
    </row>
    <row r="290" spans="1:23" ht="24" customHeight="1" x14ac:dyDescent="0.3">
      <c r="A290" s="2" t="s">
        <v>863</v>
      </c>
      <c r="B290" s="11"/>
      <c r="C290" s="11"/>
      <c r="D290" s="2" t="s">
        <v>2302</v>
      </c>
      <c r="E290" s="2" t="s">
        <v>2303</v>
      </c>
      <c r="F290" s="2" t="s">
        <v>2304</v>
      </c>
      <c r="G290" s="2" t="s">
        <v>2</v>
      </c>
      <c r="H290" s="2" t="s">
        <v>2</v>
      </c>
      <c r="I290" s="2" t="s">
        <v>2</v>
      </c>
      <c r="J290" s="2" t="s">
        <v>2305</v>
      </c>
      <c r="K290" s="3">
        <v>0</v>
      </c>
      <c r="L290" s="3">
        <v>0</v>
      </c>
      <c r="M290" s="3">
        <v>0</v>
      </c>
      <c r="N290" s="3">
        <v>2</v>
      </c>
      <c r="O290" s="4">
        <v>0</v>
      </c>
      <c r="P290" s="4">
        <v>0</v>
      </c>
      <c r="Q290" s="4">
        <v>0</v>
      </c>
      <c r="R290" s="4">
        <v>3.2</v>
      </c>
      <c r="S290" s="4">
        <v>2.5</v>
      </c>
      <c r="T290" s="2" t="s">
        <v>2</v>
      </c>
      <c r="U290" s="2" t="s">
        <v>309</v>
      </c>
      <c r="V290" s="2" t="s">
        <v>2</v>
      </c>
      <c r="W290" s="2" t="s">
        <v>2</v>
      </c>
    </row>
    <row r="291" spans="1:23" ht="24" customHeight="1" x14ac:dyDescent="0.3">
      <c r="A291" s="2" t="s">
        <v>864</v>
      </c>
      <c r="B291" s="11"/>
      <c r="C291" s="11"/>
      <c r="D291" s="2" t="s">
        <v>2306</v>
      </c>
      <c r="E291" s="2" t="s">
        <v>2307</v>
      </c>
      <c r="F291" s="2" t="s">
        <v>2308</v>
      </c>
      <c r="G291" s="2" t="s">
        <v>2</v>
      </c>
      <c r="H291" s="2" t="s">
        <v>2</v>
      </c>
      <c r="I291" s="2" t="s">
        <v>2</v>
      </c>
      <c r="J291" s="2" t="s">
        <v>2309</v>
      </c>
      <c r="K291" s="3">
        <v>0</v>
      </c>
      <c r="L291" s="3">
        <v>0</v>
      </c>
      <c r="M291" s="3">
        <v>0</v>
      </c>
      <c r="N291" s="3">
        <v>2</v>
      </c>
      <c r="O291" s="4">
        <v>0</v>
      </c>
      <c r="P291" s="4">
        <v>0</v>
      </c>
      <c r="Q291" s="4">
        <v>0</v>
      </c>
      <c r="R291" s="4">
        <v>5.2</v>
      </c>
      <c r="S291" s="4">
        <v>694.6</v>
      </c>
      <c r="T291" s="2" t="s">
        <v>2310</v>
      </c>
      <c r="U291" s="2" t="s">
        <v>2311</v>
      </c>
      <c r="V291" s="2" t="s">
        <v>2</v>
      </c>
      <c r="W291" s="2" t="s">
        <v>2</v>
      </c>
    </row>
    <row r="292" spans="1:23" ht="24" customHeight="1" x14ac:dyDescent="0.3">
      <c r="A292" s="2" t="s">
        <v>866</v>
      </c>
      <c r="B292" s="11"/>
      <c r="C292" s="11"/>
      <c r="D292" s="2" t="s">
        <v>2312</v>
      </c>
      <c r="E292" s="2" t="s">
        <v>2313</v>
      </c>
      <c r="F292" s="2" t="s">
        <v>2314</v>
      </c>
      <c r="G292" s="2" t="s">
        <v>2</v>
      </c>
      <c r="H292" s="2" t="s">
        <v>2</v>
      </c>
      <c r="I292" s="2" t="s">
        <v>2</v>
      </c>
      <c r="J292" s="2" t="s">
        <v>2315</v>
      </c>
      <c r="K292" s="3">
        <v>0</v>
      </c>
      <c r="L292" s="3">
        <v>0</v>
      </c>
      <c r="M292" s="3">
        <v>0</v>
      </c>
      <c r="N292" s="3">
        <v>4</v>
      </c>
      <c r="O292" s="4">
        <v>0</v>
      </c>
      <c r="P292" s="4">
        <v>0</v>
      </c>
      <c r="Q292" s="4">
        <v>0</v>
      </c>
      <c r="R292" s="4">
        <v>102</v>
      </c>
      <c r="S292" s="4">
        <v>0</v>
      </c>
      <c r="T292" s="2" t="s">
        <v>2316</v>
      </c>
      <c r="U292" s="2" t="s">
        <v>1158</v>
      </c>
      <c r="V292" s="2" t="s">
        <v>2</v>
      </c>
      <c r="W292" s="2" t="s">
        <v>2</v>
      </c>
    </row>
    <row r="293" spans="1:23" ht="24" customHeight="1" x14ac:dyDescent="0.3">
      <c r="A293" s="2" t="s">
        <v>867</v>
      </c>
      <c r="B293" s="11"/>
      <c r="C293" s="11"/>
      <c r="D293" s="2" t="s">
        <v>2317</v>
      </c>
      <c r="E293" s="2" t="s">
        <v>2318</v>
      </c>
      <c r="F293" s="2" t="s">
        <v>2319</v>
      </c>
      <c r="G293" s="2" t="s">
        <v>2</v>
      </c>
      <c r="H293" s="2" t="s">
        <v>2</v>
      </c>
      <c r="I293" s="2" t="s">
        <v>2</v>
      </c>
      <c r="J293" s="2" t="s">
        <v>2320</v>
      </c>
      <c r="K293" s="3">
        <v>0</v>
      </c>
      <c r="L293" s="3">
        <v>0</v>
      </c>
      <c r="M293" s="3">
        <v>0</v>
      </c>
      <c r="N293" s="3">
        <v>2</v>
      </c>
      <c r="O293" s="4">
        <v>0</v>
      </c>
      <c r="P293" s="4">
        <v>0</v>
      </c>
      <c r="Q293" s="4">
        <v>0</v>
      </c>
      <c r="R293" s="4">
        <v>3</v>
      </c>
      <c r="S293" s="4">
        <v>9.3000000000000007</v>
      </c>
      <c r="T293" s="2" t="s">
        <v>2</v>
      </c>
      <c r="U293" s="2" t="s">
        <v>631</v>
      </c>
      <c r="V293" s="2" t="s">
        <v>2</v>
      </c>
      <c r="W293" s="2" t="s">
        <v>2</v>
      </c>
    </row>
    <row r="294" spans="1:23" ht="24" customHeight="1" x14ac:dyDescent="0.3">
      <c r="A294" s="2" t="s">
        <v>868</v>
      </c>
      <c r="B294" s="11"/>
      <c r="C294" s="11"/>
      <c r="D294" s="2" t="s">
        <v>2321</v>
      </c>
      <c r="E294" s="2" t="s">
        <v>2322</v>
      </c>
      <c r="F294" s="2" t="s">
        <v>2323</v>
      </c>
      <c r="G294" s="2" t="s">
        <v>2</v>
      </c>
      <c r="H294" s="2" t="s">
        <v>2</v>
      </c>
      <c r="I294" s="2" t="s">
        <v>2324</v>
      </c>
      <c r="J294" s="2" t="s">
        <v>2</v>
      </c>
      <c r="K294" s="3">
        <v>0</v>
      </c>
      <c r="L294" s="3">
        <v>0</v>
      </c>
      <c r="M294" s="3">
        <v>3</v>
      </c>
      <c r="N294" s="3">
        <v>0</v>
      </c>
      <c r="O294" s="4">
        <v>0</v>
      </c>
      <c r="P294" s="4">
        <v>0</v>
      </c>
      <c r="Q294" s="4">
        <v>24.2</v>
      </c>
      <c r="R294" s="4">
        <v>0</v>
      </c>
      <c r="S294" s="4">
        <v>10.1</v>
      </c>
      <c r="T294" s="2" t="s">
        <v>2325</v>
      </c>
      <c r="U294" s="2" t="s">
        <v>2326</v>
      </c>
      <c r="V294" s="2" t="s">
        <v>2</v>
      </c>
      <c r="W294" s="2" t="s">
        <v>2</v>
      </c>
    </row>
    <row r="295" spans="1:23" ht="24" customHeight="1" x14ac:dyDescent="0.3">
      <c r="A295" s="2" t="s">
        <v>869</v>
      </c>
      <c r="B295" s="11"/>
      <c r="C295" s="11"/>
      <c r="D295" s="2" t="s">
        <v>2327</v>
      </c>
      <c r="E295" s="2" t="s">
        <v>2328</v>
      </c>
      <c r="F295" s="2" t="s">
        <v>2329</v>
      </c>
      <c r="G295" s="2" t="s">
        <v>2</v>
      </c>
      <c r="H295" s="2" t="s">
        <v>2</v>
      </c>
      <c r="I295" s="2" t="s">
        <v>2</v>
      </c>
      <c r="J295" s="2" t="s">
        <v>2330</v>
      </c>
      <c r="K295" s="3">
        <v>0</v>
      </c>
      <c r="L295" s="3">
        <v>0</v>
      </c>
      <c r="M295" s="3">
        <v>0</v>
      </c>
      <c r="N295" s="3">
        <v>3</v>
      </c>
      <c r="O295" s="4">
        <v>0</v>
      </c>
      <c r="P295" s="4">
        <v>0</v>
      </c>
      <c r="Q295" s="4">
        <v>0</v>
      </c>
      <c r="R295" s="4">
        <v>16.8</v>
      </c>
      <c r="S295" s="4">
        <v>0</v>
      </c>
      <c r="T295" s="2" t="s">
        <v>2331</v>
      </c>
      <c r="U295" s="2" t="s">
        <v>2332</v>
      </c>
      <c r="V295" s="2" t="s">
        <v>2</v>
      </c>
      <c r="W295" s="2" t="s">
        <v>2</v>
      </c>
    </row>
    <row r="296" spans="1:23" ht="24" customHeight="1" x14ac:dyDescent="0.3">
      <c r="A296" s="2" t="s">
        <v>870</v>
      </c>
      <c r="B296" s="11"/>
      <c r="C296" s="11"/>
      <c r="D296" s="2" t="s">
        <v>2333</v>
      </c>
      <c r="E296" s="2" t="s">
        <v>2334</v>
      </c>
      <c r="F296" s="2" t="s">
        <v>2335</v>
      </c>
      <c r="G296" s="2" t="s">
        <v>2</v>
      </c>
      <c r="H296" s="2" t="s">
        <v>2</v>
      </c>
      <c r="I296" s="2" t="s">
        <v>2</v>
      </c>
      <c r="J296" s="2" t="s">
        <v>1008</v>
      </c>
      <c r="K296" s="3">
        <v>0</v>
      </c>
      <c r="L296" s="3">
        <v>0</v>
      </c>
      <c r="M296" s="3">
        <v>0</v>
      </c>
      <c r="N296" s="3">
        <v>5</v>
      </c>
      <c r="O296" s="4">
        <v>0</v>
      </c>
      <c r="P296" s="4">
        <v>0</v>
      </c>
      <c r="Q296" s="4">
        <v>0</v>
      </c>
      <c r="R296" s="4">
        <v>59.8</v>
      </c>
      <c r="S296" s="4">
        <v>5452</v>
      </c>
      <c r="T296" s="2" t="s">
        <v>2336</v>
      </c>
      <c r="U296" s="2" t="s">
        <v>2337</v>
      </c>
      <c r="V296" s="2" t="s">
        <v>2</v>
      </c>
      <c r="W296" s="2" t="s">
        <v>2</v>
      </c>
    </row>
    <row r="297" spans="1:23" ht="24" customHeight="1" x14ac:dyDescent="0.3">
      <c r="A297" s="2" t="s">
        <v>871</v>
      </c>
      <c r="B297" s="11"/>
      <c r="C297" s="11"/>
      <c r="D297" s="2" t="s">
        <v>2338</v>
      </c>
      <c r="E297" s="2" t="s">
        <v>1021</v>
      </c>
      <c r="F297" s="2" t="s">
        <v>2339</v>
      </c>
      <c r="G297" s="2" t="s">
        <v>2</v>
      </c>
      <c r="H297" s="2" t="s">
        <v>2</v>
      </c>
      <c r="I297" s="2" t="s">
        <v>2</v>
      </c>
      <c r="J297" s="2" t="s">
        <v>2340</v>
      </c>
      <c r="K297" s="3">
        <v>0</v>
      </c>
      <c r="L297" s="3">
        <v>0</v>
      </c>
      <c r="M297" s="3">
        <v>0</v>
      </c>
      <c r="N297" s="3">
        <v>3</v>
      </c>
      <c r="O297" s="4">
        <v>0</v>
      </c>
      <c r="P297" s="4">
        <v>0</v>
      </c>
      <c r="Q297" s="4">
        <v>0</v>
      </c>
      <c r="R297" s="4">
        <v>16.5</v>
      </c>
      <c r="S297" s="4">
        <v>1797.9</v>
      </c>
      <c r="T297" s="2" t="s">
        <v>2341</v>
      </c>
      <c r="U297" s="2" t="s">
        <v>724</v>
      </c>
      <c r="V297" s="2" t="s">
        <v>2</v>
      </c>
      <c r="W297" s="2" t="s">
        <v>2</v>
      </c>
    </row>
    <row r="298" spans="1:23" ht="24" customHeight="1" x14ac:dyDescent="0.3">
      <c r="A298" s="2" t="s">
        <v>872</v>
      </c>
      <c r="B298" s="11"/>
      <c r="C298" s="11"/>
      <c r="D298" s="2" t="s">
        <v>2342</v>
      </c>
      <c r="E298" s="2" t="s">
        <v>2343</v>
      </c>
      <c r="F298" s="2" t="s">
        <v>2344</v>
      </c>
      <c r="G298" s="2" t="s">
        <v>2</v>
      </c>
      <c r="H298" s="2" t="s">
        <v>2</v>
      </c>
      <c r="I298" s="2" t="s">
        <v>2</v>
      </c>
      <c r="J298" s="2" t="s">
        <v>2345</v>
      </c>
      <c r="K298" s="3">
        <v>0</v>
      </c>
      <c r="L298" s="3">
        <v>0</v>
      </c>
      <c r="M298" s="3">
        <v>0</v>
      </c>
      <c r="N298" s="3">
        <v>2</v>
      </c>
      <c r="O298" s="4">
        <v>0</v>
      </c>
      <c r="P298" s="4">
        <v>0</v>
      </c>
      <c r="Q298" s="4">
        <v>0</v>
      </c>
      <c r="R298" s="4">
        <v>9.1999999999999993</v>
      </c>
      <c r="S298" s="4">
        <v>0</v>
      </c>
      <c r="T298" s="2" t="s">
        <v>2346</v>
      </c>
      <c r="U298" s="2" t="s">
        <v>490</v>
      </c>
      <c r="V298" s="2" t="s">
        <v>2</v>
      </c>
      <c r="W298" s="2" t="s">
        <v>2</v>
      </c>
    </row>
    <row r="299" spans="1:23" ht="24" customHeight="1" x14ac:dyDescent="0.3">
      <c r="A299" s="2" t="s">
        <v>874</v>
      </c>
      <c r="B299" s="11"/>
      <c r="C299" s="11"/>
      <c r="D299" s="2" t="s">
        <v>2347</v>
      </c>
      <c r="E299" s="2" t="s">
        <v>2348</v>
      </c>
      <c r="F299" s="2" t="s">
        <v>2349</v>
      </c>
      <c r="G299" s="2" t="s">
        <v>2</v>
      </c>
      <c r="H299" s="2" t="s">
        <v>2</v>
      </c>
      <c r="I299" s="2" t="s">
        <v>2</v>
      </c>
      <c r="J299" s="2" t="s">
        <v>2350</v>
      </c>
      <c r="K299" s="3">
        <v>0</v>
      </c>
      <c r="L299" s="3">
        <v>0</v>
      </c>
      <c r="M299" s="3">
        <v>0</v>
      </c>
      <c r="N299" s="3">
        <v>2</v>
      </c>
      <c r="O299" s="4">
        <v>0</v>
      </c>
      <c r="P299" s="4">
        <v>0</v>
      </c>
      <c r="Q299" s="4">
        <v>0</v>
      </c>
      <c r="R299" s="4">
        <v>9</v>
      </c>
      <c r="S299" s="4">
        <v>0</v>
      </c>
      <c r="T299" s="2" t="s">
        <v>2351</v>
      </c>
      <c r="U299" s="2" t="s">
        <v>2352</v>
      </c>
      <c r="V299" s="2" t="s">
        <v>2</v>
      </c>
      <c r="W299" s="2" t="s">
        <v>2</v>
      </c>
    </row>
    <row r="300" spans="1:23" ht="24" customHeight="1" x14ac:dyDescent="0.3">
      <c r="A300" s="2" t="s">
        <v>875</v>
      </c>
      <c r="B300" s="11"/>
      <c r="C300" s="11"/>
      <c r="D300" s="2" t="s">
        <v>2353</v>
      </c>
      <c r="E300" s="2" t="s">
        <v>2354</v>
      </c>
      <c r="F300" s="2" t="s">
        <v>2355</v>
      </c>
      <c r="G300" s="2" t="s">
        <v>2</v>
      </c>
      <c r="H300" s="2" t="s">
        <v>2</v>
      </c>
      <c r="I300" s="2" t="s">
        <v>2</v>
      </c>
      <c r="J300" s="2" t="s">
        <v>2356</v>
      </c>
      <c r="K300" s="3">
        <v>0</v>
      </c>
      <c r="L300" s="3">
        <v>0</v>
      </c>
      <c r="M300" s="3">
        <v>0</v>
      </c>
      <c r="N300" s="3">
        <v>2</v>
      </c>
      <c r="O300" s="4">
        <v>0</v>
      </c>
      <c r="P300" s="4">
        <v>0</v>
      </c>
      <c r="Q300" s="4">
        <v>0</v>
      </c>
      <c r="R300" s="4">
        <v>10.7</v>
      </c>
      <c r="S300" s="4">
        <v>0</v>
      </c>
      <c r="T300" s="2" t="s">
        <v>2351</v>
      </c>
      <c r="U300" s="2" t="s">
        <v>2357</v>
      </c>
      <c r="V300" s="2" t="s">
        <v>2</v>
      </c>
      <c r="W300" s="2" t="s">
        <v>2</v>
      </c>
    </row>
    <row r="301" spans="1:23" ht="24" customHeight="1" x14ac:dyDescent="0.3">
      <c r="A301" s="2" t="s">
        <v>877</v>
      </c>
      <c r="B301" s="11"/>
      <c r="C301" s="11"/>
      <c r="D301" s="2" t="s">
        <v>2358</v>
      </c>
      <c r="E301" s="2" t="s">
        <v>2359</v>
      </c>
      <c r="F301" s="2" t="s">
        <v>2360</v>
      </c>
      <c r="G301" s="2" t="s">
        <v>2</v>
      </c>
      <c r="H301" s="2" t="s">
        <v>2</v>
      </c>
      <c r="I301" s="2" t="s">
        <v>2361</v>
      </c>
      <c r="J301" s="2" t="s">
        <v>2</v>
      </c>
      <c r="K301" s="3">
        <v>0</v>
      </c>
      <c r="L301" s="3">
        <v>0</v>
      </c>
      <c r="M301" s="3">
        <v>8</v>
      </c>
      <c r="N301" s="3">
        <v>0</v>
      </c>
      <c r="O301" s="4">
        <v>0</v>
      </c>
      <c r="P301" s="4">
        <v>0</v>
      </c>
      <c r="Q301" s="4">
        <v>34.700000000000003</v>
      </c>
      <c r="R301" s="4">
        <v>0</v>
      </c>
      <c r="S301" s="4">
        <v>4029.3</v>
      </c>
      <c r="T301" s="2" t="s">
        <v>2362</v>
      </c>
      <c r="U301" s="2" t="s">
        <v>2363</v>
      </c>
      <c r="V301" s="2" t="s">
        <v>2</v>
      </c>
      <c r="W301" s="2" t="s">
        <v>2</v>
      </c>
    </row>
    <row r="302" spans="1:23" ht="24" customHeight="1" x14ac:dyDescent="0.3">
      <c r="A302" s="2" t="s">
        <v>878</v>
      </c>
      <c r="B302" s="11"/>
      <c r="C302" s="11"/>
      <c r="D302" s="2" t="s">
        <v>2364</v>
      </c>
      <c r="E302" s="2" t="s">
        <v>2365</v>
      </c>
      <c r="F302" s="2" t="s">
        <v>2366</v>
      </c>
      <c r="G302" s="2" t="s">
        <v>2</v>
      </c>
      <c r="H302" s="2" t="s">
        <v>2</v>
      </c>
      <c r="I302" s="2" t="s">
        <v>2</v>
      </c>
      <c r="J302" s="2" t="s">
        <v>2367</v>
      </c>
      <c r="K302" s="3">
        <v>0</v>
      </c>
      <c r="L302" s="3">
        <v>0</v>
      </c>
      <c r="M302" s="3">
        <v>0</v>
      </c>
      <c r="N302" s="3">
        <v>9</v>
      </c>
      <c r="O302" s="4">
        <v>0</v>
      </c>
      <c r="P302" s="4">
        <v>0</v>
      </c>
      <c r="Q302" s="4">
        <v>0</v>
      </c>
      <c r="R302" s="4">
        <v>168.8</v>
      </c>
      <c r="S302" s="4">
        <v>61732.3</v>
      </c>
      <c r="T302" s="2" t="s">
        <v>2368</v>
      </c>
      <c r="U302" s="2" t="s">
        <v>2369</v>
      </c>
      <c r="V302" s="2" t="s">
        <v>2</v>
      </c>
      <c r="W302" s="2" t="s">
        <v>2</v>
      </c>
    </row>
    <row r="303" spans="1:23" ht="24" customHeight="1" x14ac:dyDescent="0.3">
      <c r="A303" s="2" t="s">
        <v>879</v>
      </c>
      <c r="B303" s="11"/>
      <c r="C303" s="11"/>
      <c r="D303" s="2" t="s">
        <v>2370</v>
      </c>
      <c r="E303" s="2" t="s">
        <v>2371</v>
      </c>
      <c r="F303" s="2" t="s">
        <v>2372</v>
      </c>
      <c r="G303" s="2" t="s">
        <v>2</v>
      </c>
      <c r="H303" s="2" t="s">
        <v>2</v>
      </c>
      <c r="I303" s="2" t="s">
        <v>2373</v>
      </c>
      <c r="J303" s="2" t="s">
        <v>2</v>
      </c>
      <c r="K303" s="3">
        <v>0</v>
      </c>
      <c r="L303" s="3">
        <v>0</v>
      </c>
      <c r="M303" s="3">
        <v>3</v>
      </c>
      <c r="N303" s="3">
        <v>0</v>
      </c>
      <c r="O303" s="4">
        <v>0</v>
      </c>
      <c r="P303" s="4">
        <v>0</v>
      </c>
      <c r="Q303" s="4">
        <v>12</v>
      </c>
      <c r="R303" s="4">
        <v>0</v>
      </c>
      <c r="S303" s="4">
        <v>1541.1</v>
      </c>
      <c r="T303" s="2" t="s">
        <v>2</v>
      </c>
      <c r="U303" s="2" t="s">
        <v>1012</v>
      </c>
      <c r="V303" s="2" t="s">
        <v>2</v>
      </c>
      <c r="W303" s="2" t="s">
        <v>2</v>
      </c>
    </row>
    <row r="304" spans="1:23" ht="24" customHeight="1" x14ac:dyDescent="0.3">
      <c r="A304" s="2" t="s">
        <v>880</v>
      </c>
      <c r="B304" s="11"/>
      <c r="C304" s="11"/>
      <c r="D304" s="2" t="s">
        <v>2374</v>
      </c>
      <c r="E304" s="2" t="s">
        <v>2375</v>
      </c>
      <c r="F304" s="2" t="s">
        <v>2376</v>
      </c>
      <c r="G304" s="2" t="s">
        <v>2</v>
      </c>
      <c r="H304" s="2" t="s">
        <v>2</v>
      </c>
      <c r="I304" s="2" t="s">
        <v>2</v>
      </c>
      <c r="J304" s="2" t="s">
        <v>1008</v>
      </c>
      <c r="K304" s="3">
        <v>0</v>
      </c>
      <c r="L304" s="3">
        <v>0</v>
      </c>
      <c r="M304" s="3">
        <v>0</v>
      </c>
      <c r="N304" s="3">
        <v>3</v>
      </c>
      <c r="O304" s="4">
        <v>0</v>
      </c>
      <c r="P304" s="4">
        <v>0</v>
      </c>
      <c r="Q304" s="4">
        <v>0</v>
      </c>
      <c r="R304" s="4">
        <v>10.5</v>
      </c>
      <c r="S304" s="4">
        <v>198.6</v>
      </c>
      <c r="T304" s="2" t="s">
        <v>2377</v>
      </c>
      <c r="U304" s="2" t="s">
        <v>2378</v>
      </c>
      <c r="V304" s="2" t="s">
        <v>2</v>
      </c>
      <c r="W304" s="2" t="s">
        <v>2</v>
      </c>
    </row>
    <row r="305" spans="1:23" ht="24" customHeight="1" x14ac:dyDescent="0.3">
      <c r="A305" s="2" t="s">
        <v>881</v>
      </c>
      <c r="B305" s="11"/>
      <c r="C305" s="11"/>
      <c r="D305" s="2" t="s">
        <v>2379</v>
      </c>
      <c r="E305" s="2" t="s">
        <v>2380</v>
      </c>
      <c r="F305" s="2" t="s">
        <v>2381</v>
      </c>
      <c r="G305" s="2" t="s">
        <v>2</v>
      </c>
      <c r="H305" s="2" t="s">
        <v>2</v>
      </c>
      <c r="I305" s="2" t="s">
        <v>2382</v>
      </c>
      <c r="J305" s="2" t="s">
        <v>2</v>
      </c>
      <c r="K305" s="3">
        <v>0</v>
      </c>
      <c r="L305" s="3">
        <v>0</v>
      </c>
      <c r="M305" s="3">
        <v>3</v>
      </c>
      <c r="N305" s="3">
        <v>0</v>
      </c>
      <c r="O305" s="4">
        <v>0</v>
      </c>
      <c r="P305" s="4">
        <v>0</v>
      </c>
      <c r="Q305" s="4">
        <v>5.0999999999999996</v>
      </c>
      <c r="R305" s="4">
        <v>0</v>
      </c>
      <c r="S305" s="4">
        <v>0</v>
      </c>
      <c r="T305" s="2" t="s">
        <v>2383</v>
      </c>
      <c r="U305" s="2" t="s">
        <v>2384</v>
      </c>
      <c r="V305" s="2" t="s">
        <v>2</v>
      </c>
      <c r="W305" s="2" t="s">
        <v>2</v>
      </c>
    </row>
    <row r="306" spans="1:23" ht="24" customHeight="1" x14ac:dyDescent="0.3">
      <c r="A306" s="2" t="s">
        <v>883</v>
      </c>
      <c r="B306" s="11"/>
      <c r="C306" s="11"/>
      <c r="D306" s="2" t="s">
        <v>2385</v>
      </c>
      <c r="E306" s="2" t="s">
        <v>2386</v>
      </c>
      <c r="F306" s="2" t="s">
        <v>2387</v>
      </c>
      <c r="G306" s="2" t="s">
        <v>2</v>
      </c>
      <c r="H306" s="2" t="s">
        <v>2</v>
      </c>
      <c r="I306" s="2" t="s">
        <v>2388</v>
      </c>
      <c r="J306" s="2" t="s">
        <v>2</v>
      </c>
      <c r="K306" s="3">
        <v>0</v>
      </c>
      <c r="L306" s="3">
        <v>0</v>
      </c>
      <c r="M306" s="3">
        <v>9</v>
      </c>
      <c r="N306" s="3">
        <v>0</v>
      </c>
      <c r="O306" s="4">
        <v>0</v>
      </c>
      <c r="P306" s="4">
        <v>0</v>
      </c>
      <c r="Q306" s="4">
        <v>34.6</v>
      </c>
      <c r="R306" s="4">
        <v>0</v>
      </c>
      <c r="S306" s="4">
        <v>660.4</v>
      </c>
      <c r="T306" s="2" t="s">
        <v>2389</v>
      </c>
      <c r="U306" s="2" t="s">
        <v>2390</v>
      </c>
      <c r="V306" s="2" t="s">
        <v>2</v>
      </c>
      <c r="W306" s="2" t="s">
        <v>2</v>
      </c>
    </row>
    <row r="307" spans="1:23" ht="24" customHeight="1" x14ac:dyDescent="0.3">
      <c r="A307" s="2" t="s">
        <v>884</v>
      </c>
      <c r="B307" s="11"/>
      <c r="C307" s="11"/>
      <c r="D307" s="2" t="s">
        <v>2391</v>
      </c>
      <c r="E307" s="2" t="s">
        <v>2392</v>
      </c>
      <c r="F307" s="2" t="s">
        <v>2393</v>
      </c>
      <c r="G307" s="2" t="s">
        <v>26</v>
      </c>
      <c r="H307" s="2" t="s">
        <v>196</v>
      </c>
      <c r="I307" s="2" t="s">
        <v>2</v>
      </c>
      <c r="J307" s="2" t="s">
        <v>2</v>
      </c>
      <c r="K307" s="3">
        <v>5</v>
      </c>
      <c r="L307" s="3">
        <v>3</v>
      </c>
      <c r="M307" s="3">
        <v>0</v>
      </c>
      <c r="N307" s="3">
        <v>0</v>
      </c>
      <c r="O307" s="4">
        <v>30</v>
      </c>
      <c r="P307" s="4">
        <v>9</v>
      </c>
      <c r="Q307" s="4">
        <v>0</v>
      </c>
      <c r="R307" s="4">
        <v>0</v>
      </c>
      <c r="S307" s="4">
        <v>2612.1</v>
      </c>
      <c r="T307" s="2" t="s">
        <v>2394</v>
      </c>
      <c r="U307" s="2" t="s">
        <v>2395</v>
      </c>
      <c r="V307" s="2" t="s">
        <v>2</v>
      </c>
      <c r="W307" s="2" t="s">
        <v>2</v>
      </c>
    </row>
    <row r="308" spans="1:23" ht="24" customHeight="1" x14ac:dyDescent="0.3">
      <c r="A308" s="2" t="s">
        <v>885</v>
      </c>
      <c r="B308" s="11"/>
      <c r="C308" s="11" t="s">
        <v>215</v>
      </c>
      <c r="D308" s="2" t="s">
        <v>2396</v>
      </c>
      <c r="E308" s="2" t="s">
        <v>2397</v>
      </c>
      <c r="F308" s="2" t="s">
        <v>2398</v>
      </c>
      <c r="G308" s="2" t="s">
        <v>2</v>
      </c>
      <c r="H308" s="2" t="s">
        <v>2</v>
      </c>
      <c r="I308" s="2" t="s">
        <v>2</v>
      </c>
      <c r="J308" s="2" t="s">
        <v>28</v>
      </c>
      <c r="K308" s="3">
        <v>0</v>
      </c>
      <c r="L308" s="3">
        <v>0</v>
      </c>
      <c r="M308" s="3">
        <v>0</v>
      </c>
      <c r="N308" s="3">
        <v>6</v>
      </c>
      <c r="O308" s="4">
        <v>0</v>
      </c>
      <c r="P308" s="4">
        <v>0</v>
      </c>
      <c r="Q308" s="4">
        <v>0</v>
      </c>
      <c r="R308" s="4">
        <v>153</v>
      </c>
      <c r="S308" s="4">
        <v>0</v>
      </c>
      <c r="T308" s="2" t="s">
        <v>2</v>
      </c>
      <c r="U308" s="2" t="s">
        <v>2399</v>
      </c>
      <c r="V308" s="2" t="s">
        <v>2400</v>
      </c>
      <c r="W308" s="2" t="s">
        <v>980</v>
      </c>
    </row>
    <row r="309" spans="1:23" ht="24" customHeight="1" x14ac:dyDescent="0.3">
      <c r="A309" s="2" t="s">
        <v>886</v>
      </c>
      <c r="B309" s="11"/>
      <c r="C309" s="11"/>
      <c r="D309" s="2" t="s">
        <v>2401</v>
      </c>
      <c r="E309" s="2" t="s">
        <v>2402</v>
      </c>
      <c r="F309" s="2" t="s">
        <v>2403</v>
      </c>
      <c r="G309" s="2" t="s">
        <v>26</v>
      </c>
      <c r="H309" s="2" t="s">
        <v>196</v>
      </c>
      <c r="I309" s="2" t="s">
        <v>2</v>
      </c>
      <c r="J309" s="2" t="s">
        <v>2</v>
      </c>
      <c r="K309" s="3">
        <v>9</v>
      </c>
      <c r="L309" s="3">
        <v>3</v>
      </c>
      <c r="M309" s="3">
        <v>0</v>
      </c>
      <c r="N309" s="3">
        <v>0</v>
      </c>
      <c r="O309" s="4">
        <v>54.9</v>
      </c>
      <c r="P309" s="4">
        <v>19.5</v>
      </c>
      <c r="Q309" s="4">
        <v>0</v>
      </c>
      <c r="R309" s="4">
        <v>0</v>
      </c>
      <c r="S309" s="4">
        <v>14379</v>
      </c>
      <c r="T309" s="2" t="s">
        <v>2404</v>
      </c>
      <c r="U309" s="2" t="s">
        <v>2405</v>
      </c>
      <c r="V309" s="2" t="s">
        <v>2</v>
      </c>
      <c r="W309" s="2" t="s">
        <v>2</v>
      </c>
    </row>
    <row r="310" spans="1:23" ht="24" customHeight="1" x14ac:dyDescent="0.3">
      <c r="A310" s="2" t="s">
        <v>887</v>
      </c>
      <c r="B310" s="11"/>
      <c r="C310" s="11"/>
      <c r="D310" s="2" t="s">
        <v>2406</v>
      </c>
      <c r="E310" s="2" t="s">
        <v>2407</v>
      </c>
      <c r="F310" s="2" t="s">
        <v>2408</v>
      </c>
      <c r="G310" s="2" t="s">
        <v>2</v>
      </c>
      <c r="H310" s="2" t="s">
        <v>2</v>
      </c>
      <c r="I310" s="2" t="s">
        <v>2</v>
      </c>
      <c r="J310" s="2" t="s">
        <v>28</v>
      </c>
      <c r="K310" s="3">
        <v>0</v>
      </c>
      <c r="L310" s="3">
        <v>0</v>
      </c>
      <c r="M310" s="3">
        <v>0</v>
      </c>
      <c r="N310" s="3">
        <v>2</v>
      </c>
      <c r="O310" s="4">
        <v>0</v>
      </c>
      <c r="P310" s="4">
        <v>0</v>
      </c>
      <c r="Q310" s="4">
        <v>0</v>
      </c>
      <c r="R310" s="4">
        <v>2</v>
      </c>
      <c r="S310" s="4">
        <v>0</v>
      </c>
      <c r="T310" s="2" t="s">
        <v>2</v>
      </c>
      <c r="U310" s="2" t="s">
        <v>827</v>
      </c>
      <c r="V310" s="2" t="s">
        <v>2</v>
      </c>
      <c r="W310" s="2" t="s">
        <v>579</v>
      </c>
    </row>
    <row r="311" spans="1:23" ht="24" customHeight="1" x14ac:dyDescent="0.3">
      <c r="A311" s="2" t="s">
        <v>888</v>
      </c>
      <c r="B311" s="11"/>
      <c r="C311" s="11"/>
      <c r="D311" s="2" t="s">
        <v>2409</v>
      </c>
      <c r="E311" s="2" t="s">
        <v>2410</v>
      </c>
      <c r="F311" s="2" t="s">
        <v>2411</v>
      </c>
      <c r="G311" s="2" t="s">
        <v>2</v>
      </c>
      <c r="H311" s="2" t="s">
        <v>2</v>
      </c>
      <c r="I311" s="2" t="s">
        <v>2</v>
      </c>
      <c r="J311" s="2" t="s">
        <v>28</v>
      </c>
      <c r="K311" s="3">
        <v>0</v>
      </c>
      <c r="L311" s="3">
        <v>0</v>
      </c>
      <c r="M311" s="3">
        <v>0</v>
      </c>
      <c r="N311" s="3">
        <v>2</v>
      </c>
      <c r="O311" s="4">
        <v>0</v>
      </c>
      <c r="P311" s="4">
        <v>0</v>
      </c>
      <c r="Q311" s="4">
        <v>0</v>
      </c>
      <c r="R311" s="4">
        <v>3.2</v>
      </c>
      <c r="S311" s="4">
        <v>0</v>
      </c>
      <c r="T311" s="2" t="s">
        <v>2412</v>
      </c>
      <c r="U311" s="2" t="s">
        <v>1087</v>
      </c>
      <c r="V311" s="2" t="s">
        <v>2</v>
      </c>
      <c r="W311" s="2" t="s">
        <v>579</v>
      </c>
    </row>
    <row r="312" spans="1:23" ht="24" customHeight="1" x14ac:dyDescent="0.3">
      <c r="A312" s="2" t="s">
        <v>890</v>
      </c>
      <c r="B312" s="11"/>
      <c r="C312" s="11"/>
      <c r="D312" s="2" t="s">
        <v>2413</v>
      </c>
      <c r="E312" s="2" t="s">
        <v>2414</v>
      </c>
      <c r="F312" s="2" t="s">
        <v>2415</v>
      </c>
      <c r="G312" s="2" t="s">
        <v>2</v>
      </c>
      <c r="H312" s="2" t="s">
        <v>2</v>
      </c>
      <c r="I312" s="2" t="s">
        <v>2</v>
      </c>
      <c r="J312" s="2" t="s">
        <v>28</v>
      </c>
      <c r="K312" s="3">
        <v>0</v>
      </c>
      <c r="L312" s="3">
        <v>0</v>
      </c>
      <c r="M312" s="3">
        <v>0</v>
      </c>
      <c r="N312" s="3">
        <v>11</v>
      </c>
      <c r="O312" s="4">
        <v>0</v>
      </c>
      <c r="P312" s="4">
        <v>0</v>
      </c>
      <c r="Q312" s="4">
        <v>0</v>
      </c>
      <c r="R312" s="4">
        <v>194.5</v>
      </c>
      <c r="S312" s="4">
        <v>142795.70000000001</v>
      </c>
      <c r="T312" s="2" t="s">
        <v>2416</v>
      </c>
      <c r="U312" s="2" t="s">
        <v>433</v>
      </c>
      <c r="V312" s="2" t="s">
        <v>2</v>
      </c>
      <c r="W312" s="2" t="s">
        <v>2</v>
      </c>
    </row>
    <row r="313" spans="1:23" ht="24" customHeight="1" x14ac:dyDescent="0.3">
      <c r="A313" s="2" t="s">
        <v>891</v>
      </c>
      <c r="B313" s="11"/>
      <c r="C313" s="11"/>
      <c r="D313" s="2" t="s">
        <v>2417</v>
      </c>
      <c r="E313" s="2" t="s">
        <v>2418</v>
      </c>
      <c r="F313" s="2" t="s">
        <v>2419</v>
      </c>
      <c r="G313" s="2" t="s">
        <v>2</v>
      </c>
      <c r="H313" s="2" t="s">
        <v>2</v>
      </c>
      <c r="I313" s="2" t="s">
        <v>2</v>
      </c>
      <c r="J313" s="2" t="s">
        <v>28</v>
      </c>
      <c r="K313" s="3">
        <v>0</v>
      </c>
      <c r="L313" s="3">
        <v>0</v>
      </c>
      <c r="M313" s="3">
        <v>0</v>
      </c>
      <c r="N313" s="3">
        <v>2</v>
      </c>
      <c r="O313" s="4">
        <v>0</v>
      </c>
      <c r="P313" s="4">
        <v>0</v>
      </c>
      <c r="Q313" s="4">
        <v>0</v>
      </c>
      <c r="R313" s="4">
        <v>1.3</v>
      </c>
      <c r="S313" s="4">
        <v>0</v>
      </c>
      <c r="T313" s="2" t="s">
        <v>2</v>
      </c>
      <c r="U313" s="2" t="s">
        <v>2420</v>
      </c>
      <c r="V313" s="2" t="s">
        <v>2</v>
      </c>
      <c r="W313" s="2" t="s">
        <v>579</v>
      </c>
    </row>
    <row r="314" spans="1:23" ht="24" customHeight="1" x14ac:dyDescent="0.3">
      <c r="A314" s="2" t="s">
        <v>892</v>
      </c>
      <c r="B314" s="11"/>
      <c r="C314" s="11"/>
      <c r="D314" s="2" t="s">
        <v>2421</v>
      </c>
      <c r="E314" s="2" t="s">
        <v>2422</v>
      </c>
      <c r="F314" s="2" t="s">
        <v>2423</v>
      </c>
      <c r="G314" s="2" t="s">
        <v>2</v>
      </c>
      <c r="H314" s="2" t="s">
        <v>2</v>
      </c>
      <c r="I314" s="2" t="s">
        <v>2</v>
      </c>
      <c r="J314" s="2" t="s">
        <v>28</v>
      </c>
      <c r="K314" s="3">
        <v>0</v>
      </c>
      <c r="L314" s="3">
        <v>0</v>
      </c>
      <c r="M314" s="3">
        <v>0</v>
      </c>
      <c r="N314" s="3">
        <v>2</v>
      </c>
      <c r="O314" s="4">
        <v>0</v>
      </c>
      <c r="P314" s="4">
        <v>0</v>
      </c>
      <c r="Q314" s="4">
        <v>0</v>
      </c>
      <c r="R314" s="4">
        <v>2.8</v>
      </c>
      <c r="S314" s="4">
        <v>0</v>
      </c>
      <c r="T314" s="2" t="s">
        <v>2</v>
      </c>
      <c r="U314" s="2" t="s">
        <v>2424</v>
      </c>
      <c r="V314" s="2" t="s">
        <v>2</v>
      </c>
      <c r="W314" s="2" t="s">
        <v>579</v>
      </c>
    </row>
    <row r="315" spans="1:23" ht="24" customHeight="1" x14ac:dyDescent="0.3">
      <c r="A315" s="2" t="s">
        <v>893</v>
      </c>
      <c r="B315" s="11"/>
      <c r="C315" s="11"/>
      <c r="D315" s="2" t="s">
        <v>2425</v>
      </c>
      <c r="E315" s="2" t="s">
        <v>2426</v>
      </c>
      <c r="F315" s="2" t="s">
        <v>2427</v>
      </c>
      <c r="G315" s="2" t="s">
        <v>2</v>
      </c>
      <c r="H315" s="2" t="s">
        <v>2</v>
      </c>
      <c r="I315" s="2" t="s">
        <v>2</v>
      </c>
      <c r="J315" s="2" t="s">
        <v>28</v>
      </c>
      <c r="K315" s="3">
        <v>0</v>
      </c>
      <c r="L315" s="3">
        <v>0</v>
      </c>
      <c r="M315" s="3">
        <v>0</v>
      </c>
      <c r="N315" s="3">
        <v>2</v>
      </c>
      <c r="O315" s="4">
        <v>0</v>
      </c>
      <c r="P315" s="4">
        <v>0</v>
      </c>
      <c r="Q315" s="4">
        <v>0</v>
      </c>
      <c r="R315" s="4">
        <v>3.3</v>
      </c>
      <c r="S315" s="4">
        <v>271.10000000000002</v>
      </c>
      <c r="T315" s="2" t="s">
        <v>2428</v>
      </c>
      <c r="U315" s="2" t="s">
        <v>2429</v>
      </c>
      <c r="V315" s="2" t="s">
        <v>2</v>
      </c>
      <c r="W315" s="2" t="s">
        <v>2</v>
      </c>
    </row>
    <row r="316" spans="1:23" ht="24" customHeight="1" x14ac:dyDescent="0.3">
      <c r="A316" s="2" t="s">
        <v>895</v>
      </c>
      <c r="B316" s="11"/>
      <c r="C316" s="11"/>
      <c r="D316" s="2" t="s">
        <v>2430</v>
      </c>
      <c r="E316" s="2" t="s">
        <v>2431</v>
      </c>
      <c r="F316" s="2" t="s">
        <v>2432</v>
      </c>
      <c r="G316" s="2" t="s">
        <v>2</v>
      </c>
      <c r="H316" s="2" t="s">
        <v>2</v>
      </c>
      <c r="I316" s="2" t="s">
        <v>2</v>
      </c>
      <c r="J316" s="2" t="s">
        <v>28</v>
      </c>
      <c r="K316" s="3">
        <v>0</v>
      </c>
      <c r="L316" s="3">
        <v>0</v>
      </c>
      <c r="M316" s="3">
        <v>0</v>
      </c>
      <c r="N316" s="3">
        <v>2</v>
      </c>
      <c r="O316" s="4">
        <v>0</v>
      </c>
      <c r="P316" s="4">
        <v>0</v>
      </c>
      <c r="Q316" s="4">
        <v>0</v>
      </c>
      <c r="R316" s="4">
        <v>2.7</v>
      </c>
      <c r="S316" s="4">
        <v>0</v>
      </c>
      <c r="T316" s="2" t="s">
        <v>2433</v>
      </c>
      <c r="U316" s="2" t="s">
        <v>2434</v>
      </c>
      <c r="V316" s="2" t="s">
        <v>2</v>
      </c>
      <c r="W316" s="2" t="s">
        <v>579</v>
      </c>
    </row>
    <row r="317" spans="1:23" ht="24" customHeight="1" x14ac:dyDescent="0.3">
      <c r="A317" s="2" t="s">
        <v>897</v>
      </c>
      <c r="B317" s="11"/>
      <c r="C317" s="11"/>
      <c r="D317" s="2" t="s">
        <v>2435</v>
      </c>
      <c r="E317" s="2" t="s">
        <v>2436</v>
      </c>
      <c r="F317" s="2" t="s">
        <v>2437</v>
      </c>
      <c r="G317" s="2" t="s">
        <v>2</v>
      </c>
      <c r="H317" s="2" t="s">
        <v>2</v>
      </c>
      <c r="I317" s="2" t="s">
        <v>2</v>
      </c>
      <c r="J317" s="2" t="s">
        <v>28</v>
      </c>
      <c r="K317" s="3">
        <v>0</v>
      </c>
      <c r="L317" s="3">
        <v>0</v>
      </c>
      <c r="M317" s="3">
        <v>0</v>
      </c>
      <c r="N317" s="3">
        <v>2</v>
      </c>
      <c r="O317" s="4">
        <v>0</v>
      </c>
      <c r="P317" s="4">
        <v>0</v>
      </c>
      <c r="Q317" s="4">
        <v>0</v>
      </c>
      <c r="R317" s="4">
        <v>1.9</v>
      </c>
      <c r="S317" s="4">
        <v>0</v>
      </c>
      <c r="T317" s="2" t="s">
        <v>2</v>
      </c>
      <c r="U317" s="2" t="s">
        <v>309</v>
      </c>
      <c r="V317" s="2" t="s">
        <v>2</v>
      </c>
      <c r="W317" s="2" t="s">
        <v>579</v>
      </c>
    </row>
    <row r="318" spans="1:23" ht="24" customHeight="1" x14ac:dyDescent="0.3">
      <c r="A318" s="2" t="s">
        <v>898</v>
      </c>
      <c r="B318" s="11"/>
      <c r="C318" s="11"/>
      <c r="D318" s="2" t="s">
        <v>2438</v>
      </c>
      <c r="E318" s="2" t="s">
        <v>2439</v>
      </c>
      <c r="F318" s="2" t="s">
        <v>2440</v>
      </c>
      <c r="G318" s="2" t="s">
        <v>2</v>
      </c>
      <c r="H318" s="2" t="s">
        <v>2</v>
      </c>
      <c r="I318" s="2" t="s">
        <v>27</v>
      </c>
      <c r="J318" s="2" t="s">
        <v>28</v>
      </c>
      <c r="K318" s="3">
        <v>0</v>
      </c>
      <c r="L318" s="3">
        <v>0</v>
      </c>
      <c r="M318" s="3">
        <v>3</v>
      </c>
      <c r="N318" s="3">
        <v>8</v>
      </c>
      <c r="O318" s="4">
        <v>0</v>
      </c>
      <c r="P318" s="4">
        <v>0</v>
      </c>
      <c r="Q318" s="4">
        <v>29</v>
      </c>
      <c r="R318" s="4">
        <v>192.5</v>
      </c>
      <c r="S318" s="4">
        <v>85460.1</v>
      </c>
      <c r="T318" s="2" t="s">
        <v>2441</v>
      </c>
      <c r="U318" s="2" t="s">
        <v>693</v>
      </c>
      <c r="V318" s="2" t="s">
        <v>2</v>
      </c>
      <c r="W318" s="2" t="s">
        <v>2</v>
      </c>
    </row>
    <row r="319" spans="1:23" ht="24" customHeight="1" x14ac:dyDescent="0.3">
      <c r="A319" s="2" t="s">
        <v>899</v>
      </c>
      <c r="B319" s="11"/>
      <c r="C319" s="11"/>
      <c r="D319" s="2" t="s">
        <v>2442</v>
      </c>
      <c r="E319" s="2" t="s">
        <v>2443</v>
      </c>
      <c r="F319" s="2" t="s">
        <v>2444</v>
      </c>
      <c r="G319" s="2" t="s">
        <v>2</v>
      </c>
      <c r="H319" s="2" t="s">
        <v>2</v>
      </c>
      <c r="I319" s="2" t="s">
        <v>2</v>
      </c>
      <c r="J319" s="2" t="s">
        <v>28</v>
      </c>
      <c r="K319" s="3">
        <v>0</v>
      </c>
      <c r="L319" s="3">
        <v>0</v>
      </c>
      <c r="M319" s="3">
        <v>0</v>
      </c>
      <c r="N319" s="3">
        <v>12</v>
      </c>
      <c r="O319" s="4">
        <v>0</v>
      </c>
      <c r="P319" s="4">
        <v>0</v>
      </c>
      <c r="Q319" s="4">
        <v>0</v>
      </c>
      <c r="R319" s="4">
        <v>268.39999999999998</v>
      </c>
      <c r="S319" s="4">
        <v>10794.4</v>
      </c>
      <c r="T319" s="2" t="s">
        <v>2445</v>
      </c>
      <c r="U319" s="2" t="s">
        <v>2446</v>
      </c>
      <c r="V319" s="2" t="s">
        <v>2</v>
      </c>
      <c r="W319" s="2" t="s">
        <v>2</v>
      </c>
    </row>
    <row r="320" spans="1:23" ht="24" customHeight="1" x14ac:dyDescent="0.3">
      <c r="A320" s="2" t="s">
        <v>900</v>
      </c>
      <c r="B320" s="11"/>
      <c r="C320" s="11"/>
      <c r="D320" s="2" t="s">
        <v>2447</v>
      </c>
      <c r="E320" s="2" t="s">
        <v>2448</v>
      </c>
      <c r="F320" s="2" t="s">
        <v>2444</v>
      </c>
      <c r="G320" s="2" t="s">
        <v>2</v>
      </c>
      <c r="H320" s="2" t="s">
        <v>2</v>
      </c>
      <c r="I320" s="2" t="s">
        <v>27</v>
      </c>
      <c r="J320" s="2" t="s">
        <v>28</v>
      </c>
      <c r="K320" s="3">
        <v>0</v>
      </c>
      <c r="L320" s="3">
        <v>0</v>
      </c>
      <c r="M320" s="3">
        <v>3</v>
      </c>
      <c r="N320" s="3">
        <v>32</v>
      </c>
      <c r="O320" s="4">
        <v>0</v>
      </c>
      <c r="P320" s="4">
        <v>0</v>
      </c>
      <c r="Q320" s="4">
        <v>14.6</v>
      </c>
      <c r="R320" s="4">
        <v>719.9</v>
      </c>
      <c r="S320" s="4">
        <v>29425.5</v>
      </c>
      <c r="T320" s="2" t="s">
        <v>2445</v>
      </c>
      <c r="U320" s="2" t="s">
        <v>718</v>
      </c>
      <c r="V320" s="2" t="s">
        <v>2</v>
      </c>
      <c r="W320" s="2" t="s">
        <v>2</v>
      </c>
    </row>
    <row r="321" spans="1:23" ht="24" customHeight="1" x14ac:dyDescent="0.3">
      <c r="A321" s="2" t="s">
        <v>901</v>
      </c>
      <c r="B321" s="11"/>
      <c r="C321" s="11"/>
      <c r="D321" s="2" t="s">
        <v>2449</v>
      </c>
      <c r="E321" s="2" t="s">
        <v>2450</v>
      </c>
      <c r="F321" s="2" t="s">
        <v>2451</v>
      </c>
      <c r="G321" s="2" t="s">
        <v>2</v>
      </c>
      <c r="H321" s="2" t="s">
        <v>2</v>
      </c>
      <c r="I321" s="2" t="s">
        <v>2</v>
      </c>
      <c r="J321" s="2" t="s">
        <v>28</v>
      </c>
      <c r="K321" s="3">
        <v>0</v>
      </c>
      <c r="L321" s="3">
        <v>0</v>
      </c>
      <c r="M321" s="3">
        <v>0</v>
      </c>
      <c r="N321" s="3">
        <v>3</v>
      </c>
      <c r="O321" s="4">
        <v>0</v>
      </c>
      <c r="P321" s="4">
        <v>0</v>
      </c>
      <c r="Q321" s="4">
        <v>0</v>
      </c>
      <c r="R321" s="4">
        <v>15.3</v>
      </c>
      <c r="S321" s="4">
        <v>2656.7</v>
      </c>
      <c r="T321" s="2" t="s">
        <v>2</v>
      </c>
      <c r="U321" s="2" t="s">
        <v>2452</v>
      </c>
      <c r="V321" s="2" t="s">
        <v>2</v>
      </c>
      <c r="W321" s="2" t="s">
        <v>2</v>
      </c>
    </row>
    <row r="322" spans="1:23" ht="24" customHeight="1" x14ac:dyDescent="0.3">
      <c r="A322" s="2" t="s">
        <v>902</v>
      </c>
      <c r="B322" s="11"/>
      <c r="C322" s="11"/>
      <c r="D322" s="2" t="s">
        <v>2453</v>
      </c>
      <c r="E322" s="2" t="s">
        <v>2454</v>
      </c>
      <c r="F322" s="2" t="s">
        <v>2455</v>
      </c>
      <c r="G322" s="2" t="s">
        <v>2</v>
      </c>
      <c r="H322" s="2" t="s">
        <v>2</v>
      </c>
      <c r="I322" s="2" t="s">
        <v>2</v>
      </c>
      <c r="J322" s="2" t="s">
        <v>28</v>
      </c>
      <c r="K322" s="3">
        <v>0</v>
      </c>
      <c r="L322" s="3">
        <v>0</v>
      </c>
      <c r="M322" s="3">
        <v>0</v>
      </c>
      <c r="N322" s="3">
        <v>2</v>
      </c>
      <c r="O322" s="4">
        <v>0</v>
      </c>
      <c r="P322" s="4">
        <v>0</v>
      </c>
      <c r="Q322" s="4">
        <v>0</v>
      </c>
      <c r="R322" s="4">
        <v>2</v>
      </c>
      <c r="S322" s="4">
        <v>0</v>
      </c>
      <c r="T322" s="2" t="s">
        <v>2</v>
      </c>
      <c r="U322" s="2" t="s">
        <v>2456</v>
      </c>
      <c r="V322" s="2" t="s">
        <v>2</v>
      </c>
      <c r="W322" s="2" t="s">
        <v>579</v>
      </c>
    </row>
    <row r="323" spans="1:23" ht="24" customHeight="1" x14ac:dyDescent="0.3">
      <c r="A323" s="2" t="s">
        <v>903</v>
      </c>
      <c r="B323" s="11"/>
      <c r="C323" s="11"/>
      <c r="D323" s="2" t="s">
        <v>2457</v>
      </c>
      <c r="E323" s="2" t="s">
        <v>2458</v>
      </c>
      <c r="F323" s="2" t="s">
        <v>2459</v>
      </c>
      <c r="G323" s="2" t="s">
        <v>2</v>
      </c>
      <c r="H323" s="2" t="s">
        <v>2</v>
      </c>
      <c r="I323" s="2" t="s">
        <v>2</v>
      </c>
      <c r="J323" s="2" t="s">
        <v>28</v>
      </c>
      <c r="K323" s="3">
        <v>0</v>
      </c>
      <c r="L323" s="3">
        <v>0</v>
      </c>
      <c r="M323" s="3">
        <v>0</v>
      </c>
      <c r="N323" s="3">
        <v>2</v>
      </c>
      <c r="O323" s="4">
        <v>0</v>
      </c>
      <c r="P323" s="4">
        <v>0</v>
      </c>
      <c r="Q323" s="4">
        <v>0</v>
      </c>
      <c r="R323" s="4">
        <v>6</v>
      </c>
      <c r="S323" s="4">
        <v>0</v>
      </c>
      <c r="T323" s="2" t="s">
        <v>2460</v>
      </c>
      <c r="U323" s="2" t="s">
        <v>2461</v>
      </c>
      <c r="V323" s="2" t="s">
        <v>525</v>
      </c>
      <c r="W323" s="2" t="s">
        <v>980</v>
      </c>
    </row>
    <row r="324" spans="1:23" ht="24" customHeight="1" x14ac:dyDescent="0.3">
      <c r="A324" s="2" t="s">
        <v>905</v>
      </c>
      <c r="B324" s="11"/>
      <c r="C324" s="11"/>
      <c r="D324" s="2" t="s">
        <v>2462</v>
      </c>
      <c r="E324" s="2" t="s">
        <v>2463</v>
      </c>
      <c r="F324" s="2" t="s">
        <v>2464</v>
      </c>
      <c r="G324" s="2" t="s">
        <v>2</v>
      </c>
      <c r="H324" s="2" t="s">
        <v>2</v>
      </c>
      <c r="I324" s="2" t="s">
        <v>2</v>
      </c>
      <c r="J324" s="2" t="s">
        <v>28</v>
      </c>
      <c r="K324" s="3">
        <v>0</v>
      </c>
      <c r="L324" s="3">
        <v>0</v>
      </c>
      <c r="M324" s="3">
        <v>0</v>
      </c>
      <c r="N324" s="3">
        <v>2</v>
      </c>
      <c r="O324" s="4">
        <v>0</v>
      </c>
      <c r="P324" s="4">
        <v>0</v>
      </c>
      <c r="Q324" s="4">
        <v>0</v>
      </c>
      <c r="R324" s="4">
        <v>1.7</v>
      </c>
      <c r="S324" s="4">
        <v>0</v>
      </c>
      <c r="T324" s="2" t="s">
        <v>2465</v>
      </c>
      <c r="U324" s="2" t="s">
        <v>296</v>
      </c>
      <c r="V324" s="2" t="s">
        <v>2</v>
      </c>
      <c r="W324" s="2" t="s">
        <v>579</v>
      </c>
    </row>
    <row r="325" spans="1:23" ht="24" customHeight="1" x14ac:dyDescent="0.3">
      <c r="A325" s="2" t="s">
        <v>906</v>
      </c>
      <c r="B325" s="11"/>
      <c r="C325" s="11"/>
      <c r="D325" s="2" t="s">
        <v>2466</v>
      </c>
      <c r="E325" s="2" t="s">
        <v>2467</v>
      </c>
      <c r="F325" s="2" t="s">
        <v>2468</v>
      </c>
      <c r="G325" s="2" t="s">
        <v>2</v>
      </c>
      <c r="H325" s="2" t="s">
        <v>2</v>
      </c>
      <c r="I325" s="2" t="s">
        <v>2</v>
      </c>
      <c r="J325" s="2" t="s">
        <v>28</v>
      </c>
      <c r="K325" s="3">
        <v>0</v>
      </c>
      <c r="L325" s="3">
        <v>0</v>
      </c>
      <c r="M325" s="3">
        <v>0</v>
      </c>
      <c r="N325" s="3">
        <v>4</v>
      </c>
      <c r="O325" s="4">
        <v>0</v>
      </c>
      <c r="P325" s="4">
        <v>0</v>
      </c>
      <c r="Q325" s="4">
        <v>0</v>
      </c>
      <c r="R325" s="4">
        <v>86.9</v>
      </c>
      <c r="S325" s="4">
        <v>98531.9</v>
      </c>
      <c r="T325" s="2" t="s">
        <v>2469</v>
      </c>
      <c r="U325" s="2" t="s">
        <v>2470</v>
      </c>
      <c r="V325" s="2" t="s">
        <v>2</v>
      </c>
      <c r="W325" s="2" t="s">
        <v>2</v>
      </c>
    </row>
    <row r="326" spans="1:23" ht="24" customHeight="1" x14ac:dyDescent="0.3">
      <c r="A326" s="2" t="s">
        <v>907</v>
      </c>
      <c r="B326" s="11"/>
      <c r="C326" s="11"/>
      <c r="D326" s="2" t="s">
        <v>2471</v>
      </c>
      <c r="E326" s="2" t="s">
        <v>2472</v>
      </c>
      <c r="F326" s="2" t="s">
        <v>2473</v>
      </c>
      <c r="G326" s="2" t="s">
        <v>2</v>
      </c>
      <c r="H326" s="2" t="s">
        <v>2</v>
      </c>
      <c r="I326" s="2" t="s">
        <v>27</v>
      </c>
      <c r="J326" s="2" t="s">
        <v>28</v>
      </c>
      <c r="K326" s="3">
        <v>0</v>
      </c>
      <c r="L326" s="3">
        <v>0</v>
      </c>
      <c r="M326" s="3">
        <v>5</v>
      </c>
      <c r="N326" s="3">
        <v>2</v>
      </c>
      <c r="O326" s="4">
        <v>0</v>
      </c>
      <c r="P326" s="4">
        <v>0</v>
      </c>
      <c r="Q326" s="4">
        <v>55.5</v>
      </c>
      <c r="R326" s="4">
        <v>23.1</v>
      </c>
      <c r="S326" s="4">
        <v>1536.9</v>
      </c>
      <c r="T326" s="2" t="s">
        <v>2474</v>
      </c>
      <c r="U326" s="2" t="s">
        <v>2475</v>
      </c>
      <c r="V326" s="2" t="s">
        <v>2</v>
      </c>
      <c r="W326" s="2" t="s">
        <v>2</v>
      </c>
    </row>
    <row r="327" spans="1:23" ht="24" customHeight="1" x14ac:dyDescent="0.3">
      <c r="A327" s="2" t="s">
        <v>908</v>
      </c>
      <c r="B327" s="11"/>
      <c r="C327" s="11"/>
      <c r="D327" s="2" t="s">
        <v>2476</v>
      </c>
      <c r="E327" s="2" t="s">
        <v>2477</v>
      </c>
      <c r="F327" s="2" t="s">
        <v>2478</v>
      </c>
      <c r="G327" s="2" t="s">
        <v>2</v>
      </c>
      <c r="H327" s="2" t="s">
        <v>2</v>
      </c>
      <c r="I327" s="2" t="s">
        <v>27</v>
      </c>
      <c r="J327" s="2" t="s">
        <v>28</v>
      </c>
      <c r="K327" s="3">
        <v>0</v>
      </c>
      <c r="L327" s="3">
        <v>0</v>
      </c>
      <c r="M327" s="3">
        <v>3</v>
      </c>
      <c r="N327" s="3">
        <v>3</v>
      </c>
      <c r="O327" s="4">
        <v>0</v>
      </c>
      <c r="P327" s="4">
        <v>0</v>
      </c>
      <c r="Q327" s="4">
        <v>33.299999999999997</v>
      </c>
      <c r="R327" s="4">
        <v>43.2</v>
      </c>
      <c r="S327" s="4">
        <v>7580.6</v>
      </c>
      <c r="T327" s="2" t="s">
        <v>2479</v>
      </c>
      <c r="U327" s="2" t="s">
        <v>2480</v>
      </c>
      <c r="V327" s="2" t="s">
        <v>2</v>
      </c>
      <c r="W327" s="2" t="s">
        <v>2</v>
      </c>
    </row>
    <row r="328" spans="1:23" ht="24" customHeight="1" x14ac:dyDescent="0.3">
      <c r="A328" s="2" t="s">
        <v>909</v>
      </c>
      <c r="B328" s="11"/>
      <c r="C328" s="11"/>
      <c r="D328" s="2" t="s">
        <v>2481</v>
      </c>
      <c r="E328" s="2" t="s">
        <v>2482</v>
      </c>
      <c r="F328" s="2" t="s">
        <v>2483</v>
      </c>
      <c r="G328" s="2" t="s">
        <v>26</v>
      </c>
      <c r="H328" s="2" t="s">
        <v>196</v>
      </c>
      <c r="I328" s="2" t="s">
        <v>2</v>
      </c>
      <c r="J328" s="2" t="s">
        <v>2</v>
      </c>
      <c r="K328" s="3">
        <v>13</v>
      </c>
      <c r="L328" s="3">
        <v>3</v>
      </c>
      <c r="M328" s="3">
        <v>0</v>
      </c>
      <c r="N328" s="3">
        <v>0</v>
      </c>
      <c r="O328" s="4">
        <v>86.6</v>
      </c>
      <c r="P328" s="4">
        <v>17.3</v>
      </c>
      <c r="Q328" s="4">
        <v>0</v>
      </c>
      <c r="R328" s="4">
        <v>0</v>
      </c>
      <c r="S328" s="4">
        <v>15592.7</v>
      </c>
      <c r="T328" s="2" t="s">
        <v>2484</v>
      </c>
      <c r="U328" s="2" t="s">
        <v>2405</v>
      </c>
      <c r="V328" s="2" t="s">
        <v>2</v>
      </c>
      <c r="W328" s="2" t="s">
        <v>2</v>
      </c>
    </row>
    <row r="329" spans="1:23" ht="24" customHeight="1" x14ac:dyDescent="0.3">
      <c r="A329" s="2" t="s">
        <v>910</v>
      </c>
      <c r="B329" s="11"/>
      <c r="C329" s="11"/>
      <c r="D329" s="2" t="s">
        <v>2485</v>
      </c>
      <c r="E329" s="2" t="s">
        <v>2261</v>
      </c>
      <c r="F329" s="2" t="s">
        <v>2486</v>
      </c>
      <c r="G329" s="2" t="s">
        <v>26</v>
      </c>
      <c r="H329" s="2" t="s">
        <v>196</v>
      </c>
      <c r="I329" s="2" t="s">
        <v>2</v>
      </c>
      <c r="J329" s="2" t="s">
        <v>2</v>
      </c>
      <c r="K329" s="3">
        <v>10</v>
      </c>
      <c r="L329" s="3">
        <v>3</v>
      </c>
      <c r="M329" s="3">
        <v>0</v>
      </c>
      <c r="N329" s="3">
        <v>0</v>
      </c>
      <c r="O329" s="4">
        <v>81.3</v>
      </c>
      <c r="P329" s="4">
        <v>16.8</v>
      </c>
      <c r="Q329" s="4">
        <v>0</v>
      </c>
      <c r="R329" s="4">
        <v>0</v>
      </c>
      <c r="S329" s="4">
        <v>10545.4</v>
      </c>
      <c r="T329" s="2" t="s">
        <v>2487</v>
      </c>
      <c r="U329" s="2" t="s">
        <v>2405</v>
      </c>
      <c r="V329" s="2" t="s">
        <v>2</v>
      </c>
      <c r="W329" s="2" t="s">
        <v>2</v>
      </c>
    </row>
    <row r="330" spans="1:23" ht="24" customHeight="1" x14ac:dyDescent="0.3">
      <c r="A330" s="2" t="s">
        <v>911</v>
      </c>
      <c r="B330" s="11"/>
      <c r="C330" s="11"/>
      <c r="D330" s="2" t="s">
        <v>2488</v>
      </c>
      <c r="E330" s="2" t="s">
        <v>2489</v>
      </c>
      <c r="F330" s="2" t="s">
        <v>2490</v>
      </c>
      <c r="G330" s="2" t="s">
        <v>2</v>
      </c>
      <c r="H330" s="2" t="s">
        <v>2</v>
      </c>
      <c r="I330" s="2" t="s">
        <v>2</v>
      </c>
      <c r="J330" s="2" t="s">
        <v>28</v>
      </c>
      <c r="K330" s="3">
        <v>0</v>
      </c>
      <c r="L330" s="3">
        <v>0</v>
      </c>
      <c r="M330" s="3">
        <v>0</v>
      </c>
      <c r="N330" s="3">
        <v>2</v>
      </c>
      <c r="O330" s="4">
        <v>0</v>
      </c>
      <c r="P330" s="4">
        <v>0</v>
      </c>
      <c r="Q330" s="4">
        <v>0</v>
      </c>
      <c r="R330" s="4">
        <v>21</v>
      </c>
      <c r="S330" s="4">
        <v>2735.7</v>
      </c>
      <c r="T330" s="2" t="s">
        <v>2491</v>
      </c>
      <c r="U330" s="2" t="s">
        <v>2492</v>
      </c>
      <c r="V330" s="2" t="s">
        <v>2</v>
      </c>
      <c r="W330" s="2" t="s">
        <v>2</v>
      </c>
    </row>
    <row r="331" spans="1:23" ht="24" customHeight="1" x14ac:dyDescent="0.3">
      <c r="A331" s="2" t="s">
        <v>912</v>
      </c>
      <c r="B331" s="11"/>
      <c r="C331" s="11"/>
      <c r="D331" s="2" t="s">
        <v>2493</v>
      </c>
      <c r="E331" s="2" t="s">
        <v>2494</v>
      </c>
      <c r="F331" s="2" t="s">
        <v>2495</v>
      </c>
      <c r="G331" s="2" t="s">
        <v>2</v>
      </c>
      <c r="H331" s="2" t="s">
        <v>2</v>
      </c>
      <c r="I331" s="2" t="s">
        <v>27</v>
      </c>
      <c r="J331" s="2" t="s">
        <v>2</v>
      </c>
      <c r="K331" s="3">
        <v>0</v>
      </c>
      <c r="L331" s="3">
        <v>0</v>
      </c>
      <c r="M331" s="3">
        <v>13</v>
      </c>
      <c r="N331" s="3">
        <v>0</v>
      </c>
      <c r="O331" s="4">
        <v>0</v>
      </c>
      <c r="P331" s="4">
        <v>0</v>
      </c>
      <c r="Q331" s="4">
        <v>40</v>
      </c>
      <c r="R331" s="4">
        <v>0</v>
      </c>
      <c r="S331" s="4">
        <v>0</v>
      </c>
      <c r="T331" s="2" t="s">
        <v>2496</v>
      </c>
      <c r="U331" s="2" t="s">
        <v>2497</v>
      </c>
      <c r="V331" s="2" t="s">
        <v>2</v>
      </c>
      <c r="W331" s="2" t="s">
        <v>579</v>
      </c>
    </row>
    <row r="332" spans="1:23" ht="24" customHeight="1" x14ac:dyDescent="0.3">
      <c r="A332" s="2" t="s">
        <v>913</v>
      </c>
      <c r="B332" s="11"/>
      <c r="C332" s="11"/>
      <c r="D332" s="2" t="s">
        <v>2498</v>
      </c>
      <c r="E332" s="2" t="s">
        <v>2499</v>
      </c>
      <c r="F332" s="2" t="s">
        <v>2500</v>
      </c>
      <c r="G332" s="2" t="s">
        <v>2</v>
      </c>
      <c r="H332" s="2" t="s">
        <v>2</v>
      </c>
      <c r="I332" s="2" t="s">
        <v>2</v>
      </c>
      <c r="J332" s="2" t="s">
        <v>28</v>
      </c>
      <c r="K332" s="3">
        <v>0</v>
      </c>
      <c r="L332" s="3">
        <v>0</v>
      </c>
      <c r="M332" s="3">
        <v>0</v>
      </c>
      <c r="N332" s="3">
        <v>3</v>
      </c>
      <c r="O332" s="4">
        <v>0</v>
      </c>
      <c r="P332" s="4">
        <v>0</v>
      </c>
      <c r="Q332" s="4">
        <v>0</v>
      </c>
      <c r="R332" s="4">
        <v>76.5</v>
      </c>
      <c r="S332" s="4">
        <v>22102.400000000001</v>
      </c>
      <c r="T332" s="2" t="s">
        <v>2501</v>
      </c>
      <c r="U332" s="2" t="s">
        <v>221</v>
      </c>
      <c r="V332" s="2" t="s">
        <v>2</v>
      </c>
      <c r="W332" s="2" t="s">
        <v>2</v>
      </c>
    </row>
    <row r="333" spans="1:23" ht="24" customHeight="1" x14ac:dyDescent="0.3">
      <c r="A333" s="2" t="s">
        <v>914</v>
      </c>
      <c r="B333" s="11"/>
      <c r="C333" s="11"/>
      <c r="D333" s="2" t="s">
        <v>2502</v>
      </c>
      <c r="E333" s="2" t="s">
        <v>2503</v>
      </c>
      <c r="F333" s="2" t="s">
        <v>2504</v>
      </c>
      <c r="G333" s="2" t="s">
        <v>2</v>
      </c>
      <c r="H333" s="2" t="s">
        <v>2</v>
      </c>
      <c r="I333" s="2" t="s">
        <v>27</v>
      </c>
      <c r="J333" s="2" t="s">
        <v>28</v>
      </c>
      <c r="K333" s="3">
        <v>0</v>
      </c>
      <c r="L333" s="3">
        <v>0</v>
      </c>
      <c r="M333" s="3">
        <v>11</v>
      </c>
      <c r="N333" s="3">
        <v>2</v>
      </c>
      <c r="O333" s="4">
        <v>0</v>
      </c>
      <c r="P333" s="4">
        <v>0</v>
      </c>
      <c r="Q333" s="4">
        <v>47.4</v>
      </c>
      <c r="R333" s="4">
        <v>44.7</v>
      </c>
      <c r="S333" s="4">
        <v>33644.300000000003</v>
      </c>
      <c r="T333" s="2" t="s">
        <v>2505</v>
      </c>
      <c r="U333" s="2" t="s">
        <v>2506</v>
      </c>
      <c r="V333" s="2" t="s">
        <v>2</v>
      </c>
      <c r="W333" s="2" t="s">
        <v>2</v>
      </c>
    </row>
    <row r="334" spans="1:23" ht="24" customHeight="1" x14ac:dyDescent="0.3">
      <c r="A334" s="2" t="s">
        <v>915</v>
      </c>
      <c r="B334" s="11"/>
      <c r="C334" s="11"/>
      <c r="D334" s="2" t="s">
        <v>2507</v>
      </c>
      <c r="E334" s="2" t="s">
        <v>2508</v>
      </c>
      <c r="F334" s="2" t="s">
        <v>2509</v>
      </c>
      <c r="G334" s="2" t="s">
        <v>2</v>
      </c>
      <c r="H334" s="2" t="s">
        <v>2</v>
      </c>
      <c r="I334" s="2" t="s">
        <v>2</v>
      </c>
      <c r="J334" s="2" t="s">
        <v>28</v>
      </c>
      <c r="K334" s="3">
        <v>0</v>
      </c>
      <c r="L334" s="3">
        <v>0</v>
      </c>
      <c r="M334" s="3">
        <v>0</v>
      </c>
      <c r="N334" s="3">
        <v>2</v>
      </c>
      <c r="O334" s="4">
        <v>0</v>
      </c>
      <c r="P334" s="4">
        <v>0</v>
      </c>
      <c r="Q334" s="4">
        <v>0</v>
      </c>
      <c r="R334" s="4">
        <v>3</v>
      </c>
      <c r="S334" s="4">
        <v>13.2</v>
      </c>
      <c r="T334" s="2" t="s">
        <v>2510</v>
      </c>
      <c r="U334" s="2" t="s">
        <v>2511</v>
      </c>
      <c r="V334" s="2" t="s">
        <v>2</v>
      </c>
      <c r="W334" s="2" t="s">
        <v>2</v>
      </c>
    </row>
    <row r="335" spans="1:23" ht="24" customHeight="1" x14ac:dyDescent="0.3">
      <c r="A335" s="2" t="s">
        <v>916</v>
      </c>
      <c r="B335" s="11"/>
      <c r="C335" s="11"/>
      <c r="D335" s="2" t="s">
        <v>2512</v>
      </c>
      <c r="E335" s="2" t="s">
        <v>2513</v>
      </c>
      <c r="F335" s="2" t="s">
        <v>2514</v>
      </c>
      <c r="G335" s="2" t="s">
        <v>2</v>
      </c>
      <c r="H335" s="2" t="s">
        <v>2</v>
      </c>
      <c r="I335" s="2" t="s">
        <v>2</v>
      </c>
      <c r="J335" s="2" t="s">
        <v>28</v>
      </c>
      <c r="K335" s="3">
        <v>0</v>
      </c>
      <c r="L335" s="3">
        <v>0</v>
      </c>
      <c r="M335" s="3">
        <v>0</v>
      </c>
      <c r="N335" s="3">
        <v>3</v>
      </c>
      <c r="O335" s="4">
        <v>0</v>
      </c>
      <c r="P335" s="4">
        <v>0</v>
      </c>
      <c r="Q335" s="4">
        <v>0</v>
      </c>
      <c r="R335" s="4">
        <v>24.9</v>
      </c>
      <c r="S335" s="4">
        <v>15759.3</v>
      </c>
      <c r="T335" s="2" t="s">
        <v>2515</v>
      </c>
      <c r="U335" s="2" t="s">
        <v>2516</v>
      </c>
      <c r="V335" s="2" t="s">
        <v>904</v>
      </c>
      <c r="W335" s="2" t="s">
        <v>980</v>
      </c>
    </row>
    <row r="336" spans="1:23" ht="24" customHeight="1" x14ac:dyDescent="0.3">
      <c r="A336" s="2" t="s">
        <v>917</v>
      </c>
      <c r="B336" s="11"/>
      <c r="C336" s="11"/>
      <c r="D336" s="2" t="s">
        <v>2517</v>
      </c>
      <c r="E336" s="2" t="s">
        <v>2518</v>
      </c>
      <c r="F336" s="2" t="s">
        <v>2519</v>
      </c>
      <c r="G336" s="2" t="s">
        <v>2</v>
      </c>
      <c r="H336" s="2" t="s">
        <v>2</v>
      </c>
      <c r="I336" s="2" t="s">
        <v>2</v>
      </c>
      <c r="J336" s="2" t="s">
        <v>28</v>
      </c>
      <c r="K336" s="3">
        <v>0</v>
      </c>
      <c r="L336" s="3">
        <v>0</v>
      </c>
      <c r="M336" s="3">
        <v>0</v>
      </c>
      <c r="N336" s="3">
        <v>2</v>
      </c>
      <c r="O336" s="4">
        <v>0</v>
      </c>
      <c r="P336" s="4">
        <v>0</v>
      </c>
      <c r="Q336" s="4">
        <v>0</v>
      </c>
      <c r="R336" s="4">
        <v>3.2</v>
      </c>
      <c r="S336" s="4">
        <v>300.2</v>
      </c>
      <c r="T336" s="2" t="s">
        <v>2</v>
      </c>
      <c r="U336" s="2" t="s">
        <v>2520</v>
      </c>
      <c r="V336" s="2" t="s">
        <v>2</v>
      </c>
      <c r="W336" s="2" t="s">
        <v>2</v>
      </c>
    </row>
    <row r="337" spans="1:23" ht="24" customHeight="1" x14ac:dyDescent="0.3">
      <c r="A337" s="2" t="s">
        <v>918</v>
      </c>
      <c r="B337" s="11"/>
      <c r="C337" s="11"/>
      <c r="D337" s="2" t="s">
        <v>2521</v>
      </c>
      <c r="E337" s="2" t="s">
        <v>2522</v>
      </c>
      <c r="F337" s="2" t="s">
        <v>2523</v>
      </c>
      <c r="G337" s="2" t="s">
        <v>2</v>
      </c>
      <c r="H337" s="2" t="s">
        <v>2</v>
      </c>
      <c r="I337" s="2" t="s">
        <v>2</v>
      </c>
      <c r="J337" s="2" t="s">
        <v>28</v>
      </c>
      <c r="K337" s="3">
        <v>0</v>
      </c>
      <c r="L337" s="3">
        <v>0</v>
      </c>
      <c r="M337" s="3">
        <v>0</v>
      </c>
      <c r="N337" s="3">
        <v>2</v>
      </c>
      <c r="O337" s="4">
        <v>0</v>
      </c>
      <c r="P337" s="4">
        <v>0</v>
      </c>
      <c r="Q337" s="4">
        <v>0</v>
      </c>
      <c r="R337" s="4">
        <v>2</v>
      </c>
      <c r="S337" s="4">
        <v>0</v>
      </c>
      <c r="T337" s="2" t="s">
        <v>2</v>
      </c>
      <c r="U337" s="2" t="s">
        <v>2524</v>
      </c>
      <c r="V337" s="2" t="s">
        <v>2</v>
      </c>
      <c r="W337" s="2" t="s">
        <v>579</v>
      </c>
    </row>
    <row r="338" spans="1:23" ht="24" customHeight="1" x14ac:dyDescent="0.3">
      <c r="A338" s="2" t="s">
        <v>919</v>
      </c>
      <c r="B338" s="11"/>
      <c r="C338" s="11"/>
      <c r="D338" s="2" t="s">
        <v>2525</v>
      </c>
      <c r="E338" s="2" t="s">
        <v>2526</v>
      </c>
      <c r="F338" s="2" t="s">
        <v>2527</v>
      </c>
      <c r="G338" s="2" t="s">
        <v>2</v>
      </c>
      <c r="H338" s="2" t="s">
        <v>2</v>
      </c>
      <c r="I338" s="2" t="s">
        <v>2</v>
      </c>
      <c r="J338" s="2" t="s">
        <v>28</v>
      </c>
      <c r="K338" s="3">
        <v>0</v>
      </c>
      <c r="L338" s="3">
        <v>0</v>
      </c>
      <c r="M338" s="3">
        <v>0</v>
      </c>
      <c r="N338" s="3">
        <v>2</v>
      </c>
      <c r="O338" s="4">
        <v>0</v>
      </c>
      <c r="P338" s="4">
        <v>0</v>
      </c>
      <c r="Q338" s="4">
        <v>0</v>
      </c>
      <c r="R338" s="4">
        <v>4.3</v>
      </c>
      <c r="S338" s="4">
        <v>0</v>
      </c>
      <c r="T338" s="2" t="s">
        <v>2</v>
      </c>
      <c r="U338" s="2" t="s">
        <v>2528</v>
      </c>
      <c r="V338" s="2" t="s">
        <v>2</v>
      </c>
      <c r="W338" s="2" t="s">
        <v>579</v>
      </c>
    </row>
    <row r="339" spans="1:23" ht="24" customHeight="1" x14ac:dyDescent="0.3">
      <c r="A339" s="2" t="s">
        <v>920</v>
      </c>
      <c r="B339" s="11"/>
      <c r="C339" s="11"/>
      <c r="D339" s="2" t="s">
        <v>2529</v>
      </c>
      <c r="E339" s="2" t="s">
        <v>2530</v>
      </c>
      <c r="F339" s="2" t="s">
        <v>2531</v>
      </c>
      <c r="G339" s="2" t="s">
        <v>2</v>
      </c>
      <c r="H339" s="2" t="s">
        <v>2</v>
      </c>
      <c r="I339" s="2" t="s">
        <v>2</v>
      </c>
      <c r="J339" s="2" t="s">
        <v>28</v>
      </c>
      <c r="K339" s="3">
        <v>0</v>
      </c>
      <c r="L339" s="3">
        <v>0</v>
      </c>
      <c r="M339" s="3">
        <v>0</v>
      </c>
      <c r="N339" s="3">
        <v>4</v>
      </c>
      <c r="O339" s="4">
        <v>0</v>
      </c>
      <c r="P339" s="4">
        <v>0</v>
      </c>
      <c r="Q339" s="4">
        <v>0</v>
      </c>
      <c r="R339" s="4">
        <v>66</v>
      </c>
      <c r="S339" s="4">
        <v>271.10000000000002</v>
      </c>
      <c r="T339" s="2" t="s">
        <v>2</v>
      </c>
      <c r="U339" s="2" t="s">
        <v>1072</v>
      </c>
      <c r="V339" s="2" t="s">
        <v>2</v>
      </c>
      <c r="W339" s="2" t="s">
        <v>2</v>
      </c>
    </row>
    <row r="340" spans="1:23" ht="24" customHeight="1" x14ac:dyDescent="0.3">
      <c r="A340" s="2" t="s">
        <v>922</v>
      </c>
      <c r="B340" s="11"/>
      <c r="C340" s="11"/>
      <c r="D340" s="2" t="s">
        <v>2532</v>
      </c>
      <c r="E340" s="2" t="s">
        <v>2533</v>
      </c>
      <c r="F340" s="2" t="s">
        <v>2534</v>
      </c>
      <c r="G340" s="2" t="s">
        <v>2</v>
      </c>
      <c r="H340" s="2" t="s">
        <v>2</v>
      </c>
      <c r="I340" s="2" t="s">
        <v>2</v>
      </c>
      <c r="J340" s="2" t="s">
        <v>28</v>
      </c>
      <c r="K340" s="3">
        <v>0</v>
      </c>
      <c r="L340" s="3">
        <v>0</v>
      </c>
      <c r="M340" s="3">
        <v>0</v>
      </c>
      <c r="N340" s="3">
        <v>2</v>
      </c>
      <c r="O340" s="4">
        <v>0</v>
      </c>
      <c r="P340" s="4">
        <v>0</v>
      </c>
      <c r="Q340" s="4">
        <v>0</v>
      </c>
      <c r="R340" s="4">
        <v>6</v>
      </c>
      <c r="S340" s="4">
        <v>0</v>
      </c>
      <c r="T340" s="2" t="s">
        <v>2535</v>
      </c>
      <c r="U340" s="2" t="s">
        <v>2536</v>
      </c>
      <c r="V340" s="2" t="s">
        <v>2537</v>
      </c>
      <c r="W340" s="2" t="s">
        <v>980</v>
      </c>
    </row>
    <row r="341" spans="1:23" ht="24" customHeight="1" x14ac:dyDescent="0.3">
      <c r="A341" s="2" t="s">
        <v>923</v>
      </c>
      <c r="B341" s="11"/>
      <c r="C341" s="11"/>
      <c r="D341" s="2" t="s">
        <v>2538</v>
      </c>
      <c r="E341" s="2" t="s">
        <v>2539</v>
      </c>
      <c r="F341" s="2" t="s">
        <v>2540</v>
      </c>
      <c r="G341" s="2" t="s">
        <v>26</v>
      </c>
      <c r="H341" s="2" t="s">
        <v>196</v>
      </c>
      <c r="I341" s="2" t="s">
        <v>2</v>
      </c>
      <c r="J341" s="2" t="s">
        <v>2</v>
      </c>
      <c r="K341" s="3">
        <v>9</v>
      </c>
      <c r="L341" s="3">
        <v>3</v>
      </c>
      <c r="M341" s="3">
        <v>0</v>
      </c>
      <c r="N341" s="3">
        <v>0</v>
      </c>
      <c r="O341" s="4">
        <v>63.3</v>
      </c>
      <c r="P341" s="4">
        <v>19.3</v>
      </c>
      <c r="Q341" s="4">
        <v>0</v>
      </c>
      <c r="R341" s="4">
        <v>0</v>
      </c>
      <c r="S341" s="4">
        <v>13722.9</v>
      </c>
      <c r="T341" s="2" t="s">
        <v>2541</v>
      </c>
      <c r="U341" s="2" t="s">
        <v>2405</v>
      </c>
      <c r="V341" s="2" t="s">
        <v>2</v>
      </c>
      <c r="W341" s="2" t="s">
        <v>2</v>
      </c>
    </row>
    <row r="342" spans="1:23" ht="24" customHeight="1" x14ac:dyDescent="0.3">
      <c r="A342" s="2" t="s">
        <v>924</v>
      </c>
      <c r="B342" s="11"/>
      <c r="C342" s="11"/>
      <c r="D342" s="2" t="s">
        <v>2542</v>
      </c>
      <c r="E342" s="2" t="s">
        <v>2543</v>
      </c>
      <c r="F342" s="2" t="s">
        <v>2544</v>
      </c>
      <c r="G342" s="2" t="s">
        <v>2</v>
      </c>
      <c r="H342" s="2" t="s">
        <v>2</v>
      </c>
      <c r="I342" s="2" t="s">
        <v>2</v>
      </c>
      <c r="J342" s="2" t="s">
        <v>28</v>
      </c>
      <c r="K342" s="3">
        <v>0</v>
      </c>
      <c r="L342" s="3">
        <v>0</v>
      </c>
      <c r="M342" s="3">
        <v>0</v>
      </c>
      <c r="N342" s="3">
        <v>2</v>
      </c>
      <c r="O342" s="4">
        <v>0</v>
      </c>
      <c r="P342" s="4">
        <v>0</v>
      </c>
      <c r="Q342" s="4">
        <v>0</v>
      </c>
      <c r="R342" s="4">
        <v>4</v>
      </c>
      <c r="S342" s="4">
        <v>2475.5</v>
      </c>
      <c r="T342" s="2" t="s">
        <v>2545</v>
      </c>
      <c r="U342" s="2" t="s">
        <v>993</v>
      </c>
      <c r="V342" s="2" t="s">
        <v>2</v>
      </c>
      <c r="W342" s="2" t="s">
        <v>2</v>
      </c>
    </row>
    <row r="343" spans="1:23" ht="24" customHeight="1" x14ac:dyDescent="0.3">
      <c r="A343" s="2" t="s">
        <v>926</v>
      </c>
      <c r="B343" s="11"/>
      <c r="C343" s="11"/>
      <c r="D343" s="2" t="s">
        <v>2546</v>
      </c>
      <c r="E343" s="2" t="s">
        <v>2547</v>
      </c>
      <c r="F343" s="2" t="s">
        <v>2548</v>
      </c>
      <c r="G343" s="2" t="s">
        <v>2</v>
      </c>
      <c r="H343" s="2" t="s">
        <v>2</v>
      </c>
      <c r="I343" s="2" t="s">
        <v>2</v>
      </c>
      <c r="J343" s="2" t="s">
        <v>28</v>
      </c>
      <c r="K343" s="3">
        <v>0</v>
      </c>
      <c r="L343" s="3">
        <v>0</v>
      </c>
      <c r="M343" s="3">
        <v>0</v>
      </c>
      <c r="N343" s="3">
        <v>2</v>
      </c>
      <c r="O343" s="4">
        <v>0</v>
      </c>
      <c r="P343" s="4">
        <v>0</v>
      </c>
      <c r="Q343" s="4">
        <v>0</v>
      </c>
      <c r="R343" s="4">
        <v>26.5</v>
      </c>
      <c r="S343" s="4">
        <v>64584.4</v>
      </c>
      <c r="T343" s="2" t="s">
        <v>2549</v>
      </c>
      <c r="U343" s="2" t="s">
        <v>2550</v>
      </c>
      <c r="V343" s="2" t="s">
        <v>2</v>
      </c>
      <c r="W343" s="2" t="s">
        <v>2</v>
      </c>
    </row>
    <row r="344" spans="1:23" ht="24" customHeight="1" x14ac:dyDescent="0.3">
      <c r="A344" s="2" t="s">
        <v>927</v>
      </c>
      <c r="B344" s="11"/>
      <c r="C344" s="11"/>
      <c r="D344" s="2" t="s">
        <v>2551</v>
      </c>
      <c r="E344" s="2" t="s">
        <v>2552</v>
      </c>
      <c r="F344" s="2" t="s">
        <v>2553</v>
      </c>
      <c r="G344" s="2" t="s">
        <v>2</v>
      </c>
      <c r="H344" s="2" t="s">
        <v>2</v>
      </c>
      <c r="I344" s="2" t="s">
        <v>2</v>
      </c>
      <c r="J344" s="2" t="s">
        <v>28</v>
      </c>
      <c r="K344" s="3">
        <v>0</v>
      </c>
      <c r="L344" s="3">
        <v>0</v>
      </c>
      <c r="M344" s="3">
        <v>0</v>
      </c>
      <c r="N344" s="3">
        <v>2</v>
      </c>
      <c r="O344" s="4">
        <v>0</v>
      </c>
      <c r="P344" s="4">
        <v>0</v>
      </c>
      <c r="Q344" s="4">
        <v>0</v>
      </c>
      <c r="R344" s="4">
        <v>3.7</v>
      </c>
      <c r="S344" s="4">
        <v>0</v>
      </c>
      <c r="T344" s="2" t="s">
        <v>2</v>
      </c>
      <c r="U344" s="2" t="s">
        <v>309</v>
      </c>
      <c r="V344" s="2" t="s">
        <v>2</v>
      </c>
      <c r="W344" s="2" t="s">
        <v>579</v>
      </c>
    </row>
    <row r="345" spans="1:23" ht="24" customHeight="1" x14ac:dyDescent="0.3">
      <c r="A345" s="2" t="s">
        <v>928</v>
      </c>
      <c r="B345" s="11"/>
      <c r="C345" s="11"/>
      <c r="D345" s="2" t="s">
        <v>2554</v>
      </c>
      <c r="E345" s="2" t="s">
        <v>1077</v>
      </c>
      <c r="F345" s="2" t="s">
        <v>2555</v>
      </c>
      <c r="G345" s="2" t="s">
        <v>2</v>
      </c>
      <c r="H345" s="2" t="s">
        <v>2</v>
      </c>
      <c r="I345" s="2" t="s">
        <v>2</v>
      </c>
      <c r="J345" s="2" t="s">
        <v>28</v>
      </c>
      <c r="K345" s="3">
        <v>0</v>
      </c>
      <c r="L345" s="3">
        <v>0</v>
      </c>
      <c r="M345" s="3">
        <v>0</v>
      </c>
      <c r="N345" s="3">
        <v>2</v>
      </c>
      <c r="O345" s="4">
        <v>0</v>
      </c>
      <c r="P345" s="4">
        <v>0</v>
      </c>
      <c r="Q345" s="4">
        <v>0</v>
      </c>
      <c r="R345" s="4">
        <v>3</v>
      </c>
      <c r="S345" s="4">
        <v>0</v>
      </c>
      <c r="T345" s="2" t="s">
        <v>2</v>
      </c>
      <c r="U345" s="2" t="s">
        <v>2556</v>
      </c>
      <c r="V345" s="2" t="s">
        <v>2</v>
      </c>
      <c r="W345" s="2" t="s">
        <v>2</v>
      </c>
    </row>
    <row r="346" spans="1:23" ht="24" customHeight="1" x14ac:dyDescent="0.3">
      <c r="A346" s="2" t="s">
        <v>930</v>
      </c>
      <c r="B346" s="11"/>
      <c r="C346" s="11" t="s">
        <v>60</v>
      </c>
      <c r="D346" s="2" t="s">
        <v>2557</v>
      </c>
      <c r="E346" s="2" t="s">
        <v>2558</v>
      </c>
      <c r="F346" s="2" t="s">
        <v>2559</v>
      </c>
      <c r="G346" s="2" t="s">
        <v>2</v>
      </c>
      <c r="H346" s="2" t="s">
        <v>2</v>
      </c>
      <c r="I346" s="2" t="s">
        <v>2</v>
      </c>
      <c r="J346" s="2" t="s">
        <v>28</v>
      </c>
      <c r="K346" s="3">
        <v>0</v>
      </c>
      <c r="L346" s="3">
        <v>0</v>
      </c>
      <c r="M346" s="3">
        <v>0</v>
      </c>
      <c r="N346" s="3">
        <v>2</v>
      </c>
      <c r="O346" s="4">
        <v>0</v>
      </c>
      <c r="P346" s="4">
        <v>0</v>
      </c>
      <c r="Q346" s="4">
        <v>0</v>
      </c>
      <c r="R346" s="4">
        <v>1.7</v>
      </c>
      <c r="S346" s="4">
        <v>0</v>
      </c>
      <c r="T346" s="2" t="s">
        <v>2</v>
      </c>
      <c r="U346" s="2" t="s">
        <v>2106</v>
      </c>
      <c r="V346" s="2" t="s">
        <v>2</v>
      </c>
      <c r="W346" s="2" t="s">
        <v>2</v>
      </c>
    </row>
    <row r="347" spans="1:23" ht="24" customHeight="1" x14ac:dyDescent="0.3">
      <c r="A347" s="2" t="s">
        <v>931</v>
      </c>
      <c r="B347" s="11"/>
      <c r="C347" s="11"/>
      <c r="D347" s="2" t="s">
        <v>2560</v>
      </c>
      <c r="E347" s="2" t="s">
        <v>2561</v>
      </c>
      <c r="F347" s="2" t="s">
        <v>2562</v>
      </c>
      <c r="G347" s="2" t="s">
        <v>2</v>
      </c>
      <c r="H347" s="2" t="s">
        <v>2</v>
      </c>
      <c r="I347" s="2" t="s">
        <v>2</v>
      </c>
      <c r="J347" s="2" t="s">
        <v>28</v>
      </c>
      <c r="K347" s="3">
        <v>0</v>
      </c>
      <c r="L347" s="3">
        <v>0</v>
      </c>
      <c r="M347" s="3">
        <v>0</v>
      </c>
      <c r="N347" s="3">
        <v>2</v>
      </c>
      <c r="O347" s="4">
        <v>0</v>
      </c>
      <c r="P347" s="4">
        <v>0</v>
      </c>
      <c r="Q347" s="4">
        <v>0</v>
      </c>
      <c r="R347" s="4">
        <v>51</v>
      </c>
      <c r="S347" s="4">
        <v>0</v>
      </c>
      <c r="T347" s="2" t="s">
        <v>2563</v>
      </c>
      <c r="U347" s="2" t="s">
        <v>2564</v>
      </c>
      <c r="V347" s="2" t="s">
        <v>2</v>
      </c>
      <c r="W347" s="2" t="s">
        <v>2</v>
      </c>
    </row>
    <row r="348" spans="1:23" ht="24" customHeight="1" x14ac:dyDescent="0.3">
      <c r="A348" s="2" t="s">
        <v>932</v>
      </c>
      <c r="B348" s="11"/>
      <c r="C348" s="11"/>
      <c r="D348" s="2" t="s">
        <v>2565</v>
      </c>
      <c r="E348" s="2" t="s">
        <v>2566</v>
      </c>
      <c r="F348" s="2" t="s">
        <v>2567</v>
      </c>
      <c r="G348" s="2" t="s">
        <v>2</v>
      </c>
      <c r="H348" s="2" t="s">
        <v>2</v>
      </c>
      <c r="I348" s="2" t="s">
        <v>2</v>
      </c>
      <c r="J348" s="2" t="s">
        <v>28</v>
      </c>
      <c r="K348" s="3">
        <v>0</v>
      </c>
      <c r="L348" s="3">
        <v>0</v>
      </c>
      <c r="M348" s="3">
        <v>0</v>
      </c>
      <c r="N348" s="3">
        <v>2</v>
      </c>
      <c r="O348" s="4">
        <v>0</v>
      </c>
      <c r="P348" s="4">
        <v>0</v>
      </c>
      <c r="Q348" s="4">
        <v>0</v>
      </c>
      <c r="R348" s="4">
        <v>3.1</v>
      </c>
      <c r="S348" s="4">
        <v>460.3</v>
      </c>
      <c r="T348" s="2" t="s">
        <v>2</v>
      </c>
      <c r="U348" s="2" t="s">
        <v>1018</v>
      </c>
      <c r="V348" s="2" t="s">
        <v>2</v>
      </c>
      <c r="W348" s="2" t="s">
        <v>2</v>
      </c>
    </row>
    <row r="349" spans="1:23" ht="24" customHeight="1" x14ac:dyDescent="0.3">
      <c r="A349" s="2" t="s">
        <v>933</v>
      </c>
      <c r="B349" s="11"/>
      <c r="C349" s="11"/>
      <c r="D349" s="2" t="s">
        <v>2568</v>
      </c>
      <c r="E349" s="2" t="s">
        <v>2569</v>
      </c>
      <c r="F349" s="2" t="s">
        <v>2570</v>
      </c>
      <c r="G349" s="2" t="s">
        <v>2</v>
      </c>
      <c r="H349" s="2" t="s">
        <v>2</v>
      </c>
      <c r="I349" s="2" t="s">
        <v>2</v>
      </c>
      <c r="J349" s="2" t="s">
        <v>2571</v>
      </c>
      <c r="K349" s="3">
        <v>0</v>
      </c>
      <c r="L349" s="3">
        <v>0</v>
      </c>
      <c r="M349" s="3">
        <v>0</v>
      </c>
      <c r="N349" s="3">
        <v>2</v>
      </c>
      <c r="O349" s="4">
        <v>0</v>
      </c>
      <c r="P349" s="4">
        <v>0</v>
      </c>
      <c r="Q349" s="4">
        <v>0</v>
      </c>
      <c r="R349" s="4">
        <v>3.7</v>
      </c>
      <c r="S349" s="4">
        <v>0</v>
      </c>
      <c r="T349" s="2" t="s">
        <v>2572</v>
      </c>
      <c r="U349" s="2" t="s">
        <v>2573</v>
      </c>
      <c r="V349" s="2" t="s">
        <v>2</v>
      </c>
      <c r="W349" s="2" t="s">
        <v>2</v>
      </c>
    </row>
    <row r="350" spans="1:23" ht="24" customHeight="1" x14ac:dyDescent="0.3">
      <c r="A350" s="2" t="s">
        <v>934</v>
      </c>
      <c r="B350" s="11"/>
      <c r="C350" s="11"/>
      <c r="D350" s="2" t="s">
        <v>2574</v>
      </c>
      <c r="E350" s="2" t="s">
        <v>2575</v>
      </c>
      <c r="F350" s="2" t="s">
        <v>2576</v>
      </c>
      <c r="G350" s="2" t="s">
        <v>2</v>
      </c>
      <c r="H350" s="2" t="s">
        <v>2</v>
      </c>
      <c r="I350" s="2" t="s">
        <v>2</v>
      </c>
      <c r="J350" s="2" t="s">
        <v>28</v>
      </c>
      <c r="K350" s="3">
        <v>0</v>
      </c>
      <c r="L350" s="3">
        <v>0</v>
      </c>
      <c r="M350" s="3">
        <v>0</v>
      </c>
      <c r="N350" s="3">
        <v>2</v>
      </c>
      <c r="O350" s="4">
        <v>0</v>
      </c>
      <c r="P350" s="4">
        <v>0</v>
      </c>
      <c r="Q350" s="4">
        <v>0</v>
      </c>
      <c r="R350" s="4">
        <v>2.9</v>
      </c>
      <c r="S350" s="4">
        <v>0</v>
      </c>
      <c r="T350" s="2" t="s">
        <v>2</v>
      </c>
      <c r="U350" s="2" t="s">
        <v>701</v>
      </c>
      <c r="V350" s="2" t="s">
        <v>2</v>
      </c>
      <c r="W350" s="2" t="s">
        <v>2</v>
      </c>
    </row>
    <row r="351" spans="1:23" ht="24" customHeight="1" x14ac:dyDescent="0.3">
      <c r="A351" s="2" t="s">
        <v>935</v>
      </c>
      <c r="B351" s="11"/>
      <c r="C351" s="11"/>
      <c r="D351" s="2" t="s">
        <v>2577</v>
      </c>
      <c r="E351" s="2" t="s">
        <v>2578</v>
      </c>
      <c r="F351" s="2" t="s">
        <v>2579</v>
      </c>
      <c r="G351" s="2" t="s">
        <v>2</v>
      </c>
      <c r="H351" s="2" t="s">
        <v>2</v>
      </c>
      <c r="I351" s="2" t="s">
        <v>2</v>
      </c>
      <c r="J351" s="2" t="s">
        <v>28</v>
      </c>
      <c r="K351" s="3">
        <v>0</v>
      </c>
      <c r="L351" s="3">
        <v>0</v>
      </c>
      <c r="M351" s="3">
        <v>0</v>
      </c>
      <c r="N351" s="3">
        <v>2</v>
      </c>
      <c r="O351" s="4">
        <v>0</v>
      </c>
      <c r="P351" s="4">
        <v>0</v>
      </c>
      <c r="Q351" s="4">
        <v>0</v>
      </c>
      <c r="R351" s="4">
        <v>6</v>
      </c>
      <c r="S351" s="4">
        <v>0</v>
      </c>
      <c r="T351" s="2" t="s">
        <v>2580</v>
      </c>
      <c r="U351" s="2" t="s">
        <v>2581</v>
      </c>
      <c r="V351" s="2" t="s">
        <v>2</v>
      </c>
      <c r="W351" s="2" t="s">
        <v>2</v>
      </c>
    </row>
    <row r="352" spans="1:23" ht="24" customHeight="1" x14ac:dyDescent="0.3">
      <c r="A352" s="2" t="s">
        <v>936</v>
      </c>
      <c r="B352" s="11"/>
      <c r="C352" s="11"/>
      <c r="D352" s="2" t="s">
        <v>982</v>
      </c>
      <c r="E352" s="2" t="s">
        <v>2582</v>
      </c>
      <c r="F352" s="2" t="s">
        <v>2583</v>
      </c>
      <c r="G352" s="2" t="s">
        <v>2</v>
      </c>
      <c r="H352" s="2" t="s">
        <v>2</v>
      </c>
      <c r="I352" s="2" t="s">
        <v>121</v>
      </c>
      <c r="J352" s="2" t="s">
        <v>2</v>
      </c>
      <c r="K352" s="3">
        <v>0</v>
      </c>
      <c r="L352" s="3">
        <v>0</v>
      </c>
      <c r="M352" s="3">
        <v>1</v>
      </c>
      <c r="N352" s="3">
        <v>0</v>
      </c>
      <c r="O352" s="4">
        <v>0</v>
      </c>
      <c r="P352" s="4">
        <v>0</v>
      </c>
      <c r="Q352" s="4">
        <v>1.6</v>
      </c>
      <c r="R352" s="4">
        <v>0</v>
      </c>
      <c r="S352" s="4">
        <v>19.399999999999999</v>
      </c>
      <c r="T352" s="2" t="s">
        <v>2</v>
      </c>
      <c r="U352" s="2" t="s">
        <v>671</v>
      </c>
      <c r="V352" s="2" t="s">
        <v>2</v>
      </c>
      <c r="W352" s="2" t="s">
        <v>2</v>
      </c>
    </row>
    <row r="353" spans="1:23" ht="24" customHeight="1" x14ac:dyDescent="0.3">
      <c r="A353" s="2" t="s">
        <v>937</v>
      </c>
      <c r="B353" s="11"/>
      <c r="C353" s="11"/>
      <c r="D353" s="2" t="s">
        <v>2584</v>
      </c>
      <c r="E353" s="2" t="s">
        <v>2585</v>
      </c>
      <c r="F353" s="2" t="s">
        <v>2586</v>
      </c>
      <c r="G353" s="2" t="s">
        <v>2</v>
      </c>
      <c r="H353" s="2" t="s">
        <v>2</v>
      </c>
      <c r="I353" s="2" t="s">
        <v>2</v>
      </c>
      <c r="J353" s="2" t="s">
        <v>28</v>
      </c>
      <c r="K353" s="3">
        <v>0</v>
      </c>
      <c r="L353" s="3">
        <v>0</v>
      </c>
      <c r="M353" s="3">
        <v>0</v>
      </c>
      <c r="N353" s="3">
        <v>2</v>
      </c>
      <c r="O353" s="4">
        <v>0</v>
      </c>
      <c r="P353" s="4">
        <v>0</v>
      </c>
      <c r="Q353" s="4">
        <v>0</v>
      </c>
      <c r="R353" s="4">
        <v>25</v>
      </c>
      <c r="S353" s="4">
        <v>232.5</v>
      </c>
      <c r="T353" s="2" t="s">
        <v>2587</v>
      </c>
      <c r="U353" s="2" t="s">
        <v>2588</v>
      </c>
      <c r="V353" s="2" t="s">
        <v>2</v>
      </c>
      <c r="W353" s="2" t="s">
        <v>2</v>
      </c>
    </row>
    <row r="354" spans="1:23" ht="24" customHeight="1" x14ac:dyDescent="0.3">
      <c r="A354" s="2" t="s">
        <v>937</v>
      </c>
      <c r="B354" s="11"/>
      <c r="C354" s="11"/>
      <c r="D354" s="2" t="s">
        <v>2584</v>
      </c>
      <c r="E354" s="2" t="s">
        <v>2585</v>
      </c>
      <c r="F354" s="2" t="s">
        <v>2586</v>
      </c>
      <c r="G354" s="2" t="s">
        <v>2</v>
      </c>
      <c r="H354" s="2" t="s">
        <v>2</v>
      </c>
      <c r="I354" s="2" t="s">
        <v>121</v>
      </c>
      <c r="J354" s="2" t="s">
        <v>2</v>
      </c>
      <c r="K354" s="3">
        <v>0</v>
      </c>
      <c r="L354" s="3">
        <v>0</v>
      </c>
      <c r="M354" s="3">
        <v>3</v>
      </c>
      <c r="N354" s="3">
        <v>0</v>
      </c>
      <c r="O354" s="4">
        <v>0</v>
      </c>
      <c r="P354" s="4">
        <v>0</v>
      </c>
      <c r="Q354" s="4">
        <v>7.1</v>
      </c>
      <c r="R354" s="4">
        <v>0</v>
      </c>
      <c r="S354" s="4">
        <v>124.2</v>
      </c>
      <c r="T354" s="2" t="s">
        <v>2587</v>
      </c>
      <c r="U354" s="2" t="s">
        <v>2589</v>
      </c>
      <c r="V354" s="2" t="s">
        <v>2</v>
      </c>
      <c r="W354" s="2" t="s">
        <v>2</v>
      </c>
    </row>
    <row r="355" spans="1:23" ht="24" customHeight="1" x14ac:dyDescent="0.3">
      <c r="A355" s="2" t="s">
        <v>938</v>
      </c>
      <c r="B355" s="11"/>
      <c r="C355" s="11"/>
      <c r="D355" s="2" t="s">
        <v>2590</v>
      </c>
      <c r="E355" s="2" t="s">
        <v>2591</v>
      </c>
      <c r="F355" s="2" t="s">
        <v>2592</v>
      </c>
      <c r="G355" s="2" t="s">
        <v>2</v>
      </c>
      <c r="H355" s="2" t="s">
        <v>2</v>
      </c>
      <c r="I355" s="2" t="s">
        <v>2</v>
      </c>
      <c r="J355" s="2" t="s">
        <v>2571</v>
      </c>
      <c r="K355" s="3">
        <v>0</v>
      </c>
      <c r="L355" s="3">
        <v>0</v>
      </c>
      <c r="M355" s="3">
        <v>0</v>
      </c>
      <c r="N355" s="3">
        <v>3</v>
      </c>
      <c r="O355" s="4">
        <v>0</v>
      </c>
      <c r="P355" s="4">
        <v>0</v>
      </c>
      <c r="Q355" s="4">
        <v>0</v>
      </c>
      <c r="R355" s="4">
        <v>4.7</v>
      </c>
      <c r="S355" s="4">
        <v>32</v>
      </c>
      <c r="T355" s="2" t="s">
        <v>2593</v>
      </c>
      <c r="U355" s="2" t="s">
        <v>654</v>
      </c>
      <c r="V355" s="2" t="s">
        <v>2</v>
      </c>
      <c r="W355" s="2" t="s">
        <v>2</v>
      </c>
    </row>
    <row r="356" spans="1:23" ht="24" customHeight="1" x14ac:dyDescent="0.3">
      <c r="A356" s="2" t="s">
        <v>939</v>
      </c>
      <c r="B356" s="11"/>
      <c r="C356" s="11"/>
      <c r="D356" s="2" t="s">
        <v>2594</v>
      </c>
      <c r="E356" s="2" t="s">
        <v>2595</v>
      </c>
      <c r="F356" s="2" t="s">
        <v>2596</v>
      </c>
      <c r="G356" s="2" t="s">
        <v>2</v>
      </c>
      <c r="H356" s="2" t="s">
        <v>2</v>
      </c>
      <c r="I356" s="2" t="s">
        <v>2</v>
      </c>
      <c r="J356" s="2" t="s">
        <v>28</v>
      </c>
      <c r="K356" s="3">
        <v>0</v>
      </c>
      <c r="L356" s="3">
        <v>0</v>
      </c>
      <c r="M356" s="3">
        <v>0</v>
      </c>
      <c r="N356" s="3">
        <v>2</v>
      </c>
      <c r="O356" s="4">
        <v>0</v>
      </c>
      <c r="P356" s="4">
        <v>0</v>
      </c>
      <c r="Q356" s="4">
        <v>0</v>
      </c>
      <c r="R356" s="4">
        <v>3.1</v>
      </c>
      <c r="S356" s="4">
        <v>16.899999999999999</v>
      </c>
      <c r="T356" s="2" t="s">
        <v>2597</v>
      </c>
      <c r="U356" s="2" t="s">
        <v>2598</v>
      </c>
      <c r="V356" s="2" t="s">
        <v>2</v>
      </c>
      <c r="W356" s="2" t="s">
        <v>2</v>
      </c>
    </row>
    <row r="357" spans="1:23" ht="24" customHeight="1" x14ac:dyDescent="0.3">
      <c r="A357" s="2" t="s">
        <v>940</v>
      </c>
      <c r="B357" s="11"/>
      <c r="C357" s="11"/>
      <c r="D357" s="2" t="s">
        <v>2599</v>
      </c>
      <c r="E357" s="2" t="s">
        <v>2600</v>
      </c>
      <c r="F357" s="2" t="s">
        <v>2601</v>
      </c>
      <c r="G357" s="2" t="s">
        <v>2</v>
      </c>
      <c r="H357" s="2" t="s">
        <v>2</v>
      </c>
      <c r="I357" s="2" t="s">
        <v>2</v>
      </c>
      <c r="J357" s="2" t="s">
        <v>28</v>
      </c>
      <c r="K357" s="3">
        <v>0</v>
      </c>
      <c r="L357" s="3">
        <v>0</v>
      </c>
      <c r="M357" s="3">
        <v>0</v>
      </c>
      <c r="N357" s="3">
        <v>2</v>
      </c>
      <c r="O357" s="4">
        <v>0</v>
      </c>
      <c r="P357" s="4">
        <v>0</v>
      </c>
      <c r="Q357" s="4">
        <v>0</v>
      </c>
      <c r="R357" s="4">
        <v>3.8</v>
      </c>
      <c r="S357" s="4">
        <v>0</v>
      </c>
      <c r="T357" s="2" t="s">
        <v>2602</v>
      </c>
      <c r="U357" s="2" t="s">
        <v>2603</v>
      </c>
      <c r="V357" s="2" t="s">
        <v>2</v>
      </c>
      <c r="W357" s="2" t="s">
        <v>2</v>
      </c>
    </row>
    <row r="358" spans="1:23" ht="24" customHeight="1" x14ac:dyDescent="0.3">
      <c r="A358" s="2" t="s">
        <v>941</v>
      </c>
      <c r="B358" s="11"/>
      <c r="C358" s="11"/>
      <c r="D358" s="2" t="s">
        <v>2604</v>
      </c>
      <c r="E358" s="2" t="s">
        <v>2605</v>
      </c>
      <c r="F358" s="2" t="s">
        <v>2606</v>
      </c>
      <c r="G358" s="2" t="s">
        <v>26</v>
      </c>
      <c r="H358" s="2" t="s">
        <v>303</v>
      </c>
      <c r="I358" s="2" t="s">
        <v>2</v>
      </c>
      <c r="J358" s="2" t="s">
        <v>2</v>
      </c>
      <c r="K358" s="3">
        <v>16</v>
      </c>
      <c r="L358" s="3">
        <v>2</v>
      </c>
      <c r="M358" s="3">
        <v>0</v>
      </c>
      <c r="N358" s="3">
        <v>0</v>
      </c>
      <c r="O358" s="4">
        <v>72.900000000000006</v>
      </c>
      <c r="P358" s="4">
        <v>16.5</v>
      </c>
      <c r="Q358" s="4">
        <v>0</v>
      </c>
      <c r="R358" s="4">
        <v>0</v>
      </c>
      <c r="S358" s="4">
        <v>10517.4</v>
      </c>
      <c r="T358" s="2" t="s">
        <v>2607</v>
      </c>
      <c r="U358" s="2" t="s">
        <v>2608</v>
      </c>
      <c r="V358" s="2" t="s">
        <v>2</v>
      </c>
      <c r="W358" s="2" t="s">
        <v>2</v>
      </c>
    </row>
    <row r="359" spans="1:23" ht="24" customHeight="1" x14ac:dyDescent="0.3">
      <c r="A359" s="2" t="s">
        <v>943</v>
      </c>
      <c r="B359" s="11"/>
      <c r="C359" s="11"/>
      <c r="D359" s="2" t="s">
        <v>2609</v>
      </c>
      <c r="E359" s="2" t="s">
        <v>2610</v>
      </c>
      <c r="F359" s="2" t="s">
        <v>2611</v>
      </c>
      <c r="G359" s="2" t="s">
        <v>2</v>
      </c>
      <c r="H359" s="2" t="s">
        <v>2</v>
      </c>
      <c r="I359" s="2" t="s">
        <v>2</v>
      </c>
      <c r="J359" s="2" t="s">
        <v>28</v>
      </c>
      <c r="K359" s="3">
        <v>0</v>
      </c>
      <c r="L359" s="3">
        <v>0</v>
      </c>
      <c r="M359" s="3">
        <v>0</v>
      </c>
      <c r="N359" s="3">
        <v>2</v>
      </c>
      <c r="O359" s="4">
        <v>0</v>
      </c>
      <c r="P359" s="4">
        <v>0</v>
      </c>
      <c r="Q359" s="4">
        <v>0</v>
      </c>
      <c r="R359" s="4">
        <v>3.5</v>
      </c>
      <c r="S359" s="4">
        <v>290.5</v>
      </c>
      <c r="T359" s="2" t="s">
        <v>2612</v>
      </c>
      <c r="U359" s="2" t="s">
        <v>160</v>
      </c>
      <c r="V359" s="2" t="s">
        <v>2</v>
      </c>
      <c r="W359" s="2" t="s">
        <v>2</v>
      </c>
    </row>
    <row r="360" spans="1:23" ht="24" customHeight="1" x14ac:dyDescent="0.3">
      <c r="A360" s="2" t="s">
        <v>944</v>
      </c>
      <c r="B360" s="11"/>
      <c r="C360" s="11"/>
      <c r="D360" s="2" t="s">
        <v>2613</v>
      </c>
      <c r="E360" s="2" t="s">
        <v>2614</v>
      </c>
      <c r="F360" s="2" t="s">
        <v>2615</v>
      </c>
      <c r="G360" s="2" t="s">
        <v>2</v>
      </c>
      <c r="H360" s="2" t="s">
        <v>2</v>
      </c>
      <c r="I360" s="2" t="s">
        <v>2</v>
      </c>
      <c r="J360" s="2" t="s">
        <v>28</v>
      </c>
      <c r="K360" s="3">
        <v>0</v>
      </c>
      <c r="L360" s="3">
        <v>0</v>
      </c>
      <c r="M360" s="3">
        <v>0</v>
      </c>
      <c r="N360" s="3">
        <v>3</v>
      </c>
      <c r="O360" s="4">
        <v>0</v>
      </c>
      <c r="P360" s="4">
        <v>0</v>
      </c>
      <c r="Q360" s="4">
        <v>0</v>
      </c>
      <c r="R360" s="4">
        <v>8.6999999999999993</v>
      </c>
      <c r="S360" s="4">
        <v>286.39999999999998</v>
      </c>
      <c r="T360" s="2" t="s">
        <v>2616</v>
      </c>
      <c r="U360" s="2" t="s">
        <v>2617</v>
      </c>
      <c r="V360" s="2" t="s">
        <v>2</v>
      </c>
      <c r="W360" s="2" t="s">
        <v>2</v>
      </c>
    </row>
    <row r="361" spans="1:23" ht="24" customHeight="1" x14ac:dyDescent="0.3">
      <c r="A361" s="2" t="s">
        <v>946</v>
      </c>
      <c r="B361" s="11"/>
      <c r="C361" s="11"/>
      <c r="D361" s="2" t="s">
        <v>2618</v>
      </c>
      <c r="E361" s="2" t="s">
        <v>2619</v>
      </c>
      <c r="F361" s="2" t="s">
        <v>2615</v>
      </c>
      <c r="G361" s="2" t="s">
        <v>2</v>
      </c>
      <c r="H361" s="2" t="s">
        <v>2</v>
      </c>
      <c r="I361" s="2" t="s">
        <v>2</v>
      </c>
      <c r="J361" s="2" t="s">
        <v>28</v>
      </c>
      <c r="K361" s="3">
        <v>0</v>
      </c>
      <c r="L361" s="3">
        <v>0</v>
      </c>
      <c r="M361" s="3">
        <v>0</v>
      </c>
      <c r="N361" s="3">
        <v>2</v>
      </c>
      <c r="O361" s="4">
        <v>0</v>
      </c>
      <c r="P361" s="4">
        <v>0</v>
      </c>
      <c r="Q361" s="4">
        <v>0</v>
      </c>
      <c r="R361" s="4">
        <v>12</v>
      </c>
      <c r="S361" s="4">
        <v>0</v>
      </c>
      <c r="T361" s="2" t="s">
        <v>2620</v>
      </c>
      <c r="U361" s="2" t="s">
        <v>2621</v>
      </c>
      <c r="V361" s="2" t="s">
        <v>2</v>
      </c>
      <c r="W361" s="2" t="s">
        <v>2</v>
      </c>
    </row>
    <row r="362" spans="1:23" ht="24" customHeight="1" x14ac:dyDescent="0.3">
      <c r="A362" s="2" t="s">
        <v>947</v>
      </c>
      <c r="B362" s="11"/>
      <c r="C362" s="11"/>
      <c r="D362" s="2" t="s">
        <v>2622</v>
      </c>
      <c r="E362" s="2" t="s">
        <v>2623</v>
      </c>
      <c r="F362" s="2" t="s">
        <v>2624</v>
      </c>
      <c r="G362" s="2" t="s">
        <v>2</v>
      </c>
      <c r="H362" s="2" t="s">
        <v>2</v>
      </c>
      <c r="I362" s="2" t="s">
        <v>2</v>
      </c>
      <c r="J362" s="2" t="s">
        <v>28</v>
      </c>
      <c r="K362" s="3">
        <v>0</v>
      </c>
      <c r="L362" s="3">
        <v>0</v>
      </c>
      <c r="M362" s="3">
        <v>0</v>
      </c>
      <c r="N362" s="3">
        <v>2</v>
      </c>
      <c r="O362" s="4">
        <v>0</v>
      </c>
      <c r="P362" s="4">
        <v>0</v>
      </c>
      <c r="Q362" s="4">
        <v>0</v>
      </c>
      <c r="R362" s="4">
        <v>3.2</v>
      </c>
      <c r="S362" s="4">
        <v>0</v>
      </c>
      <c r="T362" s="2" t="s">
        <v>2</v>
      </c>
      <c r="U362" s="2" t="s">
        <v>2272</v>
      </c>
      <c r="V362" s="2" t="s">
        <v>2</v>
      </c>
      <c r="W362" s="2" t="s">
        <v>2</v>
      </c>
    </row>
    <row r="363" spans="1:23" ht="24" customHeight="1" x14ac:dyDescent="0.3">
      <c r="A363" s="2" t="s">
        <v>948</v>
      </c>
      <c r="B363" s="11"/>
      <c r="C363" s="11"/>
      <c r="D363" s="2" t="s">
        <v>2625</v>
      </c>
      <c r="E363" s="2" t="s">
        <v>2626</v>
      </c>
      <c r="F363" s="2" t="s">
        <v>2627</v>
      </c>
      <c r="G363" s="2" t="s">
        <v>2</v>
      </c>
      <c r="H363" s="2" t="s">
        <v>2</v>
      </c>
      <c r="I363" s="2" t="s">
        <v>2</v>
      </c>
      <c r="J363" s="2" t="s">
        <v>28</v>
      </c>
      <c r="K363" s="3">
        <v>0</v>
      </c>
      <c r="L363" s="3">
        <v>0</v>
      </c>
      <c r="M363" s="3">
        <v>0</v>
      </c>
      <c r="N363" s="3">
        <v>2</v>
      </c>
      <c r="O363" s="4">
        <v>0</v>
      </c>
      <c r="P363" s="4">
        <v>0</v>
      </c>
      <c r="Q363" s="4">
        <v>0</v>
      </c>
      <c r="R363" s="4">
        <v>20.2</v>
      </c>
      <c r="S363" s="4">
        <v>0</v>
      </c>
      <c r="T363" s="2" t="s">
        <v>2628</v>
      </c>
      <c r="U363" s="2" t="s">
        <v>2124</v>
      </c>
      <c r="V363" s="2" t="s">
        <v>2</v>
      </c>
      <c r="W363" s="2" t="s">
        <v>2</v>
      </c>
    </row>
    <row r="364" spans="1:23" ht="24" customHeight="1" x14ac:dyDescent="0.3">
      <c r="A364" s="2" t="s">
        <v>950</v>
      </c>
      <c r="B364" s="11"/>
      <c r="C364" s="11"/>
      <c r="D364" s="2" t="s">
        <v>1011</v>
      </c>
      <c r="E364" s="2" t="s">
        <v>2629</v>
      </c>
      <c r="F364" s="2" t="s">
        <v>2630</v>
      </c>
      <c r="G364" s="2" t="s">
        <v>2</v>
      </c>
      <c r="H364" s="2" t="s">
        <v>2</v>
      </c>
      <c r="I364" s="2" t="s">
        <v>121</v>
      </c>
      <c r="J364" s="2" t="s">
        <v>2</v>
      </c>
      <c r="K364" s="3">
        <v>0</v>
      </c>
      <c r="L364" s="3">
        <v>0</v>
      </c>
      <c r="M364" s="3">
        <v>4</v>
      </c>
      <c r="N364" s="3">
        <v>0</v>
      </c>
      <c r="O364" s="4">
        <v>0</v>
      </c>
      <c r="P364" s="4">
        <v>0</v>
      </c>
      <c r="Q364" s="4">
        <v>6.5</v>
      </c>
      <c r="R364" s="4">
        <v>0</v>
      </c>
      <c r="S364" s="4">
        <v>0</v>
      </c>
      <c r="T364" s="2" t="s">
        <v>2</v>
      </c>
      <c r="U364" s="2" t="s">
        <v>889</v>
      </c>
      <c r="V364" s="2" t="s">
        <v>2</v>
      </c>
      <c r="W364" s="2" t="s">
        <v>2</v>
      </c>
    </row>
    <row r="365" spans="1:23" ht="24" customHeight="1" x14ac:dyDescent="0.3">
      <c r="A365" s="2" t="s">
        <v>952</v>
      </c>
      <c r="B365" s="11"/>
      <c r="C365" s="11"/>
      <c r="D365" s="2" t="s">
        <v>2631</v>
      </c>
      <c r="E365" s="2" t="s">
        <v>2632</v>
      </c>
      <c r="F365" s="2" t="s">
        <v>2633</v>
      </c>
      <c r="G365" s="2" t="s">
        <v>2</v>
      </c>
      <c r="H365" s="2" t="s">
        <v>2</v>
      </c>
      <c r="I365" s="2" t="s">
        <v>2</v>
      </c>
      <c r="J365" s="2" t="s">
        <v>28</v>
      </c>
      <c r="K365" s="3">
        <v>0</v>
      </c>
      <c r="L365" s="3">
        <v>0</v>
      </c>
      <c r="M365" s="3">
        <v>0</v>
      </c>
      <c r="N365" s="3">
        <v>2</v>
      </c>
      <c r="O365" s="4">
        <v>0</v>
      </c>
      <c r="P365" s="4">
        <v>0</v>
      </c>
      <c r="Q365" s="4">
        <v>0</v>
      </c>
      <c r="R365" s="4">
        <v>2.9</v>
      </c>
      <c r="S365" s="4">
        <v>256.2</v>
      </c>
      <c r="T365" s="2" t="s">
        <v>2634</v>
      </c>
      <c r="U365" s="2" t="s">
        <v>2635</v>
      </c>
      <c r="V365" s="2" t="s">
        <v>2</v>
      </c>
      <c r="W365" s="2" t="s">
        <v>2</v>
      </c>
    </row>
    <row r="366" spans="1:23" ht="24" customHeight="1" x14ac:dyDescent="0.3">
      <c r="A366" s="2" t="s">
        <v>953</v>
      </c>
      <c r="B366" s="11"/>
      <c r="C366" s="11"/>
      <c r="D366" s="2" t="s">
        <v>2636</v>
      </c>
      <c r="E366" s="2" t="s">
        <v>1702</v>
      </c>
      <c r="F366" s="2" t="s">
        <v>2637</v>
      </c>
      <c r="G366" s="2" t="s">
        <v>2</v>
      </c>
      <c r="H366" s="2" t="s">
        <v>2</v>
      </c>
      <c r="I366" s="2" t="s">
        <v>2</v>
      </c>
      <c r="J366" s="2" t="s">
        <v>28</v>
      </c>
      <c r="K366" s="3">
        <v>0</v>
      </c>
      <c r="L366" s="3">
        <v>0</v>
      </c>
      <c r="M366" s="3">
        <v>0</v>
      </c>
      <c r="N366" s="3">
        <v>4</v>
      </c>
      <c r="O366" s="4">
        <v>0</v>
      </c>
      <c r="P366" s="4">
        <v>0</v>
      </c>
      <c r="Q366" s="4">
        <v>0</v>
      </c>
      <c r="R366" s="4">
        <v>31</v>
      </c>
      <c r="S366" s="4">
        <v>619.9</v>
      </c>
      <c r="T366" s="2" t="s">
        <v>2638</v>
      </c>
      <c r="U366" s="2" t="s">
        <v>487</v>
      </c>
      <c r="V366" s="2" t="s">
        <v>2</v>
      </c>
      <c r="W366" s="2" t="s">
        <v>2</v>
      </c>
    </row>
    <row r="367" spans="1:23" ht="24" customHeight="1" x14ac:dyDescent="0.3">
      <c r="A367" s="2" t="s">
        <v>954</v>
      </c>
      <c r="B367" s="11"/>
      <c r="C367" s="11"/>
      <c r="D367" s="2" t="s">
        <v>2639</v>
      </c>
      <c r="E367" s="2" t="s">
        <v>2640</v>
      </c>
      <c r="F367" s="2" t="s">
        <v>2641</v>
      </c>
      <c r="G367" s="2" t="s">
        <v>2</v>
      </c>
      <c r="H367" s="2" t="s">
        <v>2</v>
      </c>
      <c r="I367" s="2" t="s">
        <v>121</v>
      </c>
      <c r="J367" s="2" t="s">
        <v>2</v>
      </c>
      <c r="K367" s="3">
        <v>0</v>
      </c>
      <c r="L367" s="3">
        <v>0</v>
      </c>
      <c r="M367" s="3">
        <v>3</v>
      </c>
      <c r="N367" s="3">
        <v>0</v>
      </c>
      <c r="O367" s="4">
        <v>0</v>
      </c>
      <c r="P367" s="4">
        <v>0</v>
      </c>
      <c r="Q367" s="4">
        <v>18.3</v>
      </c>
      <c r="R367" s="4">
        <v>0</v>
      </c>
      <c r="S367" s="4">
        <v>0</v>
      </c>
      <c r="T367" s="2" t="s">
        <v>2</v>
      </c>
      <c r="U367" s="2" t="s">
        <v>2642</v>
      </c>
      <c r="V367" s="2" t="s">
        <v>2</v>
      </c>
      <c r="W367" s="2" t="s">
        <v>2</v>
      </c>
    </row>
    <row r="368" spans="1:23" ht="24" customHeight="1" x14ac:dyDescent="0.3">
      <c r="A368" s="2" t="s">
        <v>954</v>
      </c>
      <c r="B368" s="11"/>
      <c r="C368" s="11"/>
      <c r="D368" s="2" t="s">
        <v>2639</v>
      </c>
      <c r="E368" s="2" t="s">
        <v>2640</v>
      </c>
      <c r="F368" s="2" t="s">
        <v>2641</v>
      </c>
      <c r="G368" s="2" t="s">
        <v>2</v>
      </c>
      <c r="H368" s="2" t="s">
        <v>2</v>
      </c>
      <c r="I368" s="2" t="s">
        <v>2</v>
      </c>
      <c r="J368" s="2" t="s">
        <v>28</v>
      </c>
      <c r="K368" s="3">
        <v>0</v>
      </c>
      <c r="L368" s="3">
        <v>0</v>
      </c>
      <c r="M368" s="3">
        <v>0</v>
      </c>
      <c r="N368" s="3">
        <v>2</v>
      </c>
      <c r="O368" s="4">
        <v>0</v>
      </c>
      <c r="P368" s="4">
        <v>0</v>
      </c>
      <c r="Q368" s="4">
        <v>0</v>
      </c>
      <c r="R368" s="4">
        <v>55.5</v>
      </c>
      <c r="S368" s="4">
        <v>0</v>
      </c>
      <c r="T368" s="2" t="s">
        <v>2</v>
      </c>
      <c r="U368" s="2" t="s">
        <v>2642</v>
      </c>
      <c r="V368" s="2" t="s">
        <v>2</v>
      </c>
      <c r="W368" s="2" t="s">
        <v>2</v>
      </c>
    </row>
    <row r="369" spans="1:23" ht="24" customHeight="1" x14ac:dyDescent="0.3">
      <c r="A369" s="2" t="s">
        <v>955</v>
      </c>
      <c r="B369" s="11"/>
      <c r="C369" s="11"/>
      <c r="D369" s="2" t="s">
        <v>2643</v>
      </c>
      <c r="E369" s="2" t="s">
        <v>2644</v>
      </c>
      <c r="F369" s="2" t="s">
        <v>2645</v>
      </c>
      <c r="G369" s="2" t="s">
        <v>2</v>
      </c>
      <c r="H369" s="2" t="s">
        <v>2</v>
      </c>
      <c r="I369" s="2" t="s">
        <v>2</v>
      </c>
      <c r="J369" s="2" t="s">
        <v>28</v>
      </c>
      <c r="K369" s="3">
        <v>0</v>
      </c>
      <c r="L369" s="3">
        <v>0</v>
      </c>
      <c r="M369" s="3">
        <v>0</v>
      </c>
      <c r="N369" s="3">
        <v>3</v>
      </c>
      <c r="O369" s="4">
        <v>0</v>
      </c>
      <c r="P369" s="4">
        <v>0</v>
      </c>
      <c r="Q369" s="4">
        <v>0</v>
      </c>
      <c r="R369" s="4">
        <v>3.2</v>
      </c>
      <c r="S369" s="4">
        <v>169.2</v>
      </c>
      <c r="T369" s="2" t="s">
        <v>2646</v>
      </c>
      <c r="U369" s="2" t="s">
        <v>2647</v>
      </c>
      <c r="V369" s="2" t="s">
        <v>2</v>
      </c>
      <c r="W369" s="2" t="s">
        <v>2</v>
      </c>
    </row>
    <row r="370" spans="1:23" ht="24" customHeight="1" x14ac:dyDescent="0.3">
      <c r="A370" s="2" t="s">
        <v>1030</v>
      </c>
      <c r="B370" s="11"/>
      <c r="C370" s="11"/>
      <c r="D370" s="2" t="s">
        <v>2648</v>
      </c>
      <c r="E370" s="2" t="s">
        <v>959</v>
      </c>
      <c r="F370" s="2" t="s">
        <v>2649</v>
      </c>
      <c r="G370" s="2" t="s">
        <v>2</v>
      </c>
      <c r="H370" s="2" t="s">
        <v>2</v>
      </c>
      <c r="I370" s="2" t="s">
        <v>2</v>
      </c>
      <c r="J370" s="2" t="s">
        <v>28</v>
      </c>
      <c r="K370" s="3">
        <v>0</v>
      </c>
      <c r="L370" s="3">
        <v>0</v>
      </c>
      <c r="M370" s="3">
        <v>0</v>
      </c>
      <c r="N370" s="3">
        <v>2</v>
      </c>
      <c r="O370" s="4">
        <v>0</v>
      </c>
      <c r="P370" s="4">
        <v>0</v>
      </c>
      <c r="Q370" s="4">
        <v>0</v>
      </c>
      <c r="R370" s="4">
        <v>30</v>
      </c>
      <c r="S370" s="4">
        <v>142170.5</v>
      </c>
      <c r="T370" s="2" t="s">
        <v>2650</v>
      </c>
      <c r="U370" s="2" t="s">
        <v>2651</v>
      </c>
      <c r="V370" s="2" t="s">
        <v>2</v>
      </c>
      <c r="W370" s="2" t="s">
        <v>2</v>
      </c>
    </row>
    <row r="371" spans="1:23" ht="24" customHeight="1" x14ac:dyDescent="0.3">
      <c r="A371" s="2" t="s">
        <v>1031</v>
      </c>
      <c r="B371" s="11"/>
      <c r="C371" s="11"/>
      <c r="D371" s="2" t="s">
        <v>2652</v>
      </c>
      <c r="E371" s="2" t="s">
        <v>2653</v>
      </c>
      <c r="F371" s="2" t="s">
        <v>2654</v>
      </c>
      <c r="G371" s="2" t="s">
        <v>2</v>
      </c>
      <c r="H371" s="2" t="s">
        <v>2</v>
      </c>
      <c r="I371" s="2" t="s">
        <v>121</v>
      </c>
      <c r="J371" s="2" t="s">
        <v>2</v>
      </c>
      <c r="K371" s="3">
        <v>0</v>
      </c>
      <c r="L371" s="3">
        <v>0</v>
      </c>
      <c r="M371" s="3">
        <v>4</v>
      </c>
      <c r="N371" s="3">
        <v>0</v>
      </c>
      <c r="O371" s="4">
        <v>0</v>
      </c>
      <c r="P371" s="4">
        <v>0</v>
      </c>
      <c r="Q371" s="4">
        <v>88</v>
      </c>
      <c r="R371" s="4">
        <v>0</v>
      </c>
      <c r="S371" s="4">
        <v>27746.3</v>
      </c>
      <c r="T371" s="2" t="s">
        <v>2655</v>
      </c>
      <c r="U371" s="2" t="s">
        <v>2656</v>
      </c>
      <c r="V371" s="2" t="s">
        <v>2</v>
      </c>
      <c r="W371" s="2" t="s">
        <v>2</v>
      </c>
    </row>
    <row r="372" spans="1:23" ht="24" customHeight="1" x14ac:dyDescent="0.3">
      <c r="A372" s="2" t="s">
        <v>1032</v>
      </c>
      <c r="B372" s="11"/>
      <c r="C372" s="11"/>
      <c r="D372" s="2" t="s">
        <v>2657</v>
      </c>
      <c r="E372" s="2" t="s">
        <v>2658</v>
      </c>
      <c r="F372" s="2" t="s">
        <v>2659</v>
      </c>
      <c r="G372" s="2" t="s">
        <v>2</v>
      </c>
      <c r="H372" s="2" t="s">
        <v>2</v>
      </c>
      <c r="I372" s="2" t="s">
        <v>2</v>
      </c>
      <c r="J372" s="2" t="s">
        <v>28</v>
      </c>
      <c r="K372" s="3">
        <v>0</v>
      </c>
      <c r="L372" s="3">
        <v>0</v>
      </c>
      <c r="M372" s="3">
        <v>0</v>
      </c>
      <c r="N372" s="3">
        <v>2</v>
      </c>
      <c r="O372" s="4">
        <v>0</v>
      </c>
      <c r="P372" s="4">
        <v>0</v>
      </c>
      <c r="Q372" s="4">
        <v>0</v>
      </c>
      <c r="R372" s="4">
        <v>1.6</v>
      </c>
      <c r="S372" s="4">
        <v>0</v>
      </c>
      <c r="T372" s="2" t="s">
        <v>2</v>
      </c>
      <c r="U372" s="2" t="s">
        <v>2660</v>
      </c>
      <c r="V372" s="2" t="s">
        <v>2</v>
      </c>
      <c r="W372" s="2" t="s">
        <v>2</v>
      </c>
    </row>
    <row r="373" spans="1:23" ht="24" customHeight="1" x14ac:dyDescent="0.3">
      <c r="A373" s="2" t="s">
        <v>1034</v>
      </c>
      <c r="B373" s="11"/>
      <c r="C373" s="11"/>
      <c r="D373" s="2" t="s">
        <v>2661</v>
      </c>
      <c r="E373" s="2" t="s">
        <v>2662</v>
      </c>
      <c r="F373" s="2" t="s">
        <v>2663</v>
      </c>
      <c r="G373" s="2" t="s">
        <v>2</v>
      </c>
      <c r="H373" s="2" t="s">
        <v>2</v>
      </c>
      <c r="I373" s="2" t="s">
        <v>2</v>
      </c>
      <c r="J373" s="2" t="s">
        <v>28</v>
      </c>
      <c r="K373" s="3">
        <v>0</v>
      </c>
      <c r="L373" s="3">
        <v>0</v>
      </c>
      <c r="M373" s="3">
        <v>0</v>
      </c>
      <c r="N373" s="3">
        <v>3</v>
      </c>
      <c r="O373" s="4">
        <v>0</v>
      </c>
      <c r="P373" s="4">
        <v>0</v>
      </c>
      <c r="Q373" s="4">
        <v>0</v>
      </c>
      <c r="R373" s="4">
        <v>5</v>
      </c>
      <c r="S373" s="4">
        <v>177.9</v>
      </c>
      <c r="T373" s="2" t="s">
        <v>2</v>
      </c>
      <c r="U373" s="2" t="s">
        <v>1003</v>
      </c>
      <c r="V373" s="2" t="s">
        <v>2</v>
      </c>
      <c r="W373" s="2" t="s">
        <v>2</v>
      </c>
    </row>
    <row r="374" spans="1:23" ht="24" customHeight="1" x14ac:dyDescent="0.3">
      <c r="A374" s="2" t="s">
        <v>1036</v>
      </c>
      <c r="B374" s="11"/>
      <c r="C374" s="11"/>
      <c r="D374" s="2" t="s">
        <v>2664</v>
      </c>
      <c r="E374" s="2" t="s">
        <v>2665</v>
      </c>
      <c r="F374" s="2" t="s">
        <v>2666</v>
      </c>
      <c r="G374" s="2" t="s">
        <v>2</v>
      </c>
      <c r="H374" s="2" t="s">
        <v>2</v>
      </c>
      <c r="I374" s="2" t="s">
        <v>2</v>
      </c>
      <c r="J374" s="2" t="s">
        <v>28</v>
      </c>
      <c r="K374" s="3">
        <v>0</v>
      </c>
      <c r="L374" s="3">
        <v>0</v>
      </c>
      <c r="M374" s="3">
        <v>0</v>
      </c>
      <c r="N374" s="3">
        <v>9</v>
      </c>
      <c r="O374" s="4">
        <v>0</v>
      </c>
      <c r="P374" s="4">
        <v>0</v>
      </c>
      <c r="Q374" s="4">
        <v>0</v>
      </c>
      <c r="R374" s="4">
        <v>234</v>
      </c>
      <c r="S374" s="4">
        <v>0</v>
      </c>
      <c r="T374" s="2" t="s">
        <v>2</v>
      </c>
      <c r="U374" s="2" t="s">
        <v>1053</v>
      </c>
      <c r="V374" s="2" t="s">
        <v>2</v>
      </c>
      <c r="W374" s="2" t="s">
        <v>2</v>
      </c>
    </row>
    <row r="375" spans="1:23" ht="24" customHeight="1" x14ac:dyDescent="0.3">
      <c r="A375" s="2" t="s">
        <v>1038</v>
      </c>
      <c r="B375" s="11"/>
      <c r="C375" s="11"/>
      <c r="D375" s="2" t="s">
        <v>2667</v>
      </c>
      <c r="E375" s="2" t="s">
        <v>2668</v>
      </c>
      <c r="F375" s="2" t="s">
        <v>2669</v>
      </c>
      <c r="G375" s="2" t="s">
        <v>2</v>
      </c>
      <c r="H375" s="2" t="s">
        <v>2</v>
      </c>
      <c r="I375" s="2" t="s">
        <v>2</v>
      </c>
      <c r="J375" s="2" t="s">
        <v>28</v>
      </c>
      <c r="K375" s="3">
        <v>0</v>
      </c>
      <c r="L375" s="3">
        <v>0</v>
      </c>
      <c r="M375" s="3">
        <v>0</v>
      </c>
      <c r="N375" s="3">
        <v>4</v>
      </c>
      <c r="O375" s="4">
        <v>0</v>
      </c>
      <c r="P375" s="4">
        <v>0</v>
      </c>
      <c r="Q375" s="4">
        <v>0</v>
      </c>
      <c r="R375" s="4">
        <v>11.1</v>
      </c>
      <c r="S375" s="4">
        <v>0</v>
      </c>
      <c r="T375" s="2" t="s">
        <v>2</v>
      </c>
      <c r="U375" s="2" t="s">
        <v>1064</v>
      </c>
      <c r="V375" s="2" t="s">
        <v>2</v>
      </c>
      <c r="W375" s="2" t="s">
        <v>2</v>
      </c>
    </row>
    <row r="376" spans="1:23" ht="24" customHeight="1" x14ac:dyDescent="0.3">
      <c r="A376" s="2" t="s">
        <v>1040</v>
      </c>
      <c r="B376" s="11"/>
      <c r="C376" s="11"/>
      <c r="D376" s="2" t="s">
        <v>2670</v>
      </c>
      <c r="E376" s="2" t="s">
        <v>2671</v>
      </c>
      <c r="F376" s="2" t="s">
        <v>2672</v>
      </c>
      <c r="G376" s="2" t="s">
        <v>2</v>
      </c>
      <c r="H376" s="2" t="s">
        <v>2</v>
      </c>
      <c r="I376" s="2" t="s">
        <v>2</v>
      </c>
      <c r="J376" s="2" t="s">
        <v>28</v>
      </c>
      <c r="K376" s="3">
        <v>0</v>
      </c>
      <c r="L376" s="3">
        <v>0</v>
      </c>
      <c r="M376" s="3">
        <v>0</v>
      </c>
      <c r="N376" s="3">
        <v>3</v>
      </c>
      <c r="O376" s="4">
        <v>0</v>
      </c>
      <c r="P376" s="4">
        <v>0</v>
      </c>
      <c r="Q376" s="4">
        <v>0</v>
      </c>
      <c r="R376" s="4">
        <v>28.3</v>
      </c>
      <c r="S376" s="4">
        <v>3941.8</v>
      </c>
      <c r="T376" s="2" t="s">
        <v>2673</v>
      </c>
      <c r="U376" s="2" t="s">
        <v>2674</v>
      </c>
      <c r="V376" s="2" t="s">
        <v>2</v>
      </c>
      <c r="W376" s="2" t="s">
        <v>2</v>
      </c>
    </row>
    <row r="377" spans="1:23" ht="24" customHeight="1" x14ac:dyDescent="0.3">
      <c r="A377" s="2" t="s">
        <v>1041</v>
      </c>
      <c r="B377" s="11"/>
      <c r="C377" s="11"/>
      <c r="D377" s="2" t="s">
        <v>2675</v>
      </c>
      <c r="E377" s="2" t="s">
        <v>2676</v>
      </c>
      <c r="F377" s="2" t="s">
        <v>2677</v>
      </c>
      <c r="G377" s="2" t="s">
        <v>2</v>
      </c>
      <c r="H377" s="2" t="s">
        <v>2</v>
      </c>
      <c r="I377" s="2" t="s">
        <v>2</v>
      </c>
      <c r="J377" s="2" t="s">
        <v>28</v>
      </c>
      <c r="K377" s="3">
        <v>0</v>
      </c>
      <c r="L377" s="3">
        <v>0</v>
      </c>
      <c r="M377" s="3">
        <v>0</v>
      </c>
      <c r="N377" s="3">
        <v>2</v>
      </c>
      <c r="O377" s="4">
        <v>0</v>
      </c>
      <c r="P377" s="4">
        <v>0</v>
      </c>
      <c r="Q377" s="4">
        <v>0</v>
      </c>
      <c r="R377" s="4">
        <v>3.6</v>
      </c>
      <c r="S377" s="4">
        <v>0</v>
      </c>
      <c r="T377" s="2" t="s">
        <v>2678</v>
      </c>
      <c r="U377" s="2" t="s">
        <v>2679</v>
      </c>
      <c r="V377" s="2" t="s">
        <v>2</v>
      </c>
      <c r="W377" s="2" t="s">
        <v>2</v>
      </c>
    </row>
    <row r="378" spans="1:23" ht="24" customHeight="1" x14ac:dyDescent="0.3">
      <c r="A378" s="2" t="s">
        <v>1042</v>
      </c>
      <c r="B378" s="11"/>
      <c r="C378" s="11"/>
      <c r="D378" s="2" t="s">
        <v>2680</v>
      </c>
      <c r="E378" s="2" t="s">
        <v>589</v>
      </c>
      <c r="F378" s="2" t="s">
        <v>2681</v>
      </c>
      <c r="G378" s="2" t="s">
        <v>2</v>
      </c>
      <c r="H378" s="2" t="s">
        <v>2</v>
      </c>
      <c r="I378" s="2" t="s">
        <v>121</v>
      </c>
      <c r="J378" s="2" t="s">
        <v>2</v>
      </c>
      <c r="K378" s="3">
        <v>0</v>
      </c>
      <c r="L378" s="3">
        <v>0</v>
      </c>
      <c r="M378" s="3">
        <v>4</v>
      </c>
      <c r="N378" s="3">
        <v>0</v>
      </c>
      <c r="O378" s="4">
        <v>0</v>
      </c>
      <c r="P378" s="4">
        <v>0</v>
      </c>
      <c r="Q378" s="4">
        <v>9.6</v>
      </c>
      <c r="R378" s="4">
        <v>0</v>
      </c>
      <c r="S378" s="4">
        <v>251.2</v>
      </c>
      <c r="T378" s="2" t="s">
        <v>2682</v>
      </c>
      <c r="U378" s="2" t="s">
        <v>2683</v>
      </c>
      <c r="V378" s="2" t="s">
        <v>563</v>
      </c>
      <c r="W378" s="2" t="s">
        <v>2</v>
      </c>
    </row>
    <row r="379" spans="1:23" ht="24" customHeight="1" x14ac:dyDescent="0.3">
      <c r="A379" s="2" t="s">
        <v>1043</v>
      </c>
      <c r="B379" s="11"/>
      <c r="C379" s="11"/>
      <c r="D379" s="2" t="s">
        <v>2684</v>
      </c>
      <c r="E379" s="2" t="s">
        <v>2685</v>
      </c>
      <c r="F379" s="2" t="s">
        <v>2686</v>
      </c>
      <c r="G379" s="2" t="s">
        <v>2</v>
      </c>
      <c r="H379" s="2" t="s">
        <v>2</v>
      </c>
      <c r="I379" s="2" t="s">
        <v>2</v>
      </c>
      <c r="J379" s="2" t="s">
        <v>2571</v>
      </c>
      <c r="K379" s="3">
        <v>0</v>
      </c>
      <c r="L379" s="3">
        <v>0</v>
      </c>
      <c r="M379" s="3">
        <v>0</v>
      </c>
      <c r="N379" s="3">
        <v>2</v>
      </c>
      <c r="O379" s="4">
        <v>0</v>
      </c>
      <c r="P379" s="4">
        <v>0</v>
      </c>
      <c r="Q379" s="4">
        <v>0</v>
      </c>
      <c r="R379" s="4">
        <v>3.4</v>
      </c>
      <c r="S379" s="4">
        <v>89.3</v>
      </c>
      <c r="T379" s="2" t="s">
        <v>2687</v>
      </c>
      <c r="U379" s="2" t="s">
        <v>929</v>
      </c>
      <c r="V379" s="2" t="s">
        <v>2</v>
      </c>
      <c r="W379" s="2" t="s">
        <v>2</v>
      </c>
    </row>
    <row r="380" spans="1:23" ht="24" customHeight="1" x14ac:dyDescent="0.3">
      <c r="A380" s="2" t="s">
        <v>1044</v>
      </c>
      <c r="B380" s="11"/>
      <c r="C380" s="11"/>
      <c r="D380" s="2" t="s">
        <v>2688</v>
      </c>
      <c r="E380" s="2" t="s">
        <v>2689</v>
      </c>
      <c r="F380" s="2" t="s">
        <v>2690</v>
      </c>
      <c r="G380" s="2" t="s">
        <v>2</v>
      </c>
      <c r="H380" s="2" t="s">
        <v>2</v>
      </c>
      <c r="I380" s="2" t="s">
        <v>2</v>
      </c>
      <c r="J380" s="2" t="s">
        <v>28</v>
      </c>
      <c r="K380" s="3">
        <v>0</v>
      </c>
      <c r="L380" s="3">
        <v>0</v>
      </c>
      <c r="M380" s="3">
        <v>0</v>
      </c>
      <c r="N380" s="3">
        <v>2</v>
      </c>
      <c r="O380" s="4">
        <v>0</v>
      </c>
      <c r="P380" s="4">
        <v>0</v>
      </c>
      <c r="Q380" s="4">
        <v>0</v>
      </c>
      <c r="R380" s="4">
        <v>4.0999999999999996</v>
      </c>
      <c r="S380" s="4">
        <v>0</v>
      </c>
      <c r="T380" s="2" t="s">
        <v>2691</v>
      </c>
      <c r="U380" s="2" t="s">
        <v>1096</v>
      </c>
      <c r="V380" s="2" t="s">
        <v>2</v>
      </c>
      <c r="W380" s="2" t="s">
        <v>2</v>
      </c>
    </row>
    <row r="381" spans="1:23" ht="24" customHeight="1" x14ac:dyDescent="0.3">
      <c r="A381" s="2" t="s">
        <v>1045</v>
      </c>
      <c r="B381" s="11"/>
      <c r="C381" s="11"/>
      <c r="D381" s="2" t="s">
        <v>2692</v>
      </c>
      <c r="E381" s="2" t="s">
        <v>2693</v>
      </c>
      <c r="F381" s="2" t="s">
        <v>2694</v>
      </c>
      <c r="G381" s="2" t="s">
        <v>2</v>
      </c>
      <c r="H381" s="2" t="s">
        <v>2</v>
      </c>
      <c r="I381" s="2" t="s">
        <v>2</v>
      </c>
      <c r="J381" s="2" t="s">
        <v>28</v>
      </c>
      <c r="K381" s="3">
        <v>0</v>
      </c>
      <c r="L381" s="3">
        <v>0</v>
      </c>
      <c r="M381" s="3">
        <v>0</v>
      </c>
      <c r="N381" s="3">
        <v>2</v>
      </c>
      <c r="O381" s="4">
        <v>0</v>
      </c>
      <c r="P381" s="4">
        <v>0</v>
      </c>
      <c r="Q381" s="4">
        <v>0</v>
      </c>
      <c r="R381" s="4">
        <v>1.4</v>
      </c>
      <c r="S381" s="4">
        <v>0</v>
      </c>
      <c r="T381" s="2" t="s">
        <v>2</v>
      </c>
      <c r="U381" s="2" t="s">
        <v>482</v>
      </c>
      <c r="V381" s="2" t="s">
        <v>2</v>
      </c>
      <c r="W381" s="2" t="s">
        <v>2</v>
      </c>
    </row>
    <row r="382" spans="1:23" ht="24" customHeight="1" x14ac:dyDescent="0.3">
      <c r="A382" s="2" t="s">
        <v>1046</v>
      </c>
      <c r="B382" s="11"/>
      <c r="C382" s="11"/>
      <c r="D382" s="2" t="s">
        <v>2695</v>
      </c>
      <c r="E382" s="2" t="s">
        <v>2696</v>
      </c>
      <c r="F382" s="2" t="s">
        <v>2697</v>
      </c>
      <c r="G382" s="2" t="s">
        <v>2</v>
      </c>
      <c r="H382" s="2" t="s">
        <v>2</v>
      </c>
      <c r="I382" s="2" t="s">
        <v>2</v>
      </c>
      <c r="J382" s="2" t="s">
        <v>2571</v>
      </c>
      <c r="K382" s="3">
        <v>0</v>
      </c>
      <c r="L382" s="3">
        <v>0</v>
      </c>
      <c r="M382" s="3">
        <v>0</v>
      </c>
      <c r="N382" s="3">
        <v>2</v>
      </c>
      <c r="O382" s="4">
        <v>0</v>
      </c>
      <c r="P382" s="4">
        <v>0</v>
      </c>
      <c r="Q382" s="4">
        <v>0</v>
      </c>
      <c r="R382" s="4">
        <v>3.6</v>
      </c>
      <c r="S382" s="4">
        <v>0</v>
      </c>
      <c r="T382" s="2" t="s">
        <v>2</v>
      </c>
      <c r="U382" s="2" t="s">
        <v>2698</v>
      </c>
      <c r="V382" s="2" t="s">
        <v>2</v>
      </c>
      <c r="W382" s="2" t="s">
        <v>2</v>
      </c>
    </row>
    <row r="383" spans="1:23" ht="24" customHeight="1" x14ac:dyDescent="0.3">
      <c r="A383" s="2" t="s">
        <v>1047</v>
      </c>
      <c r="B383" s="11"/>
      <c r="C383" s="11"/>
      <c r="D383" s="2" t="s">
        <v>2699</v>
      </c>
      <c r="E383" s="2" t="s">
        <v>2700</v>
      </c>
      <c r="F383" s="2" t="s">
        <v>2701</v>
      </c>
      <c r="G383" s="2" t="s">
        <v>2</v>
      </c>
      <c r="H383" s="2" t="s">
        <v>2</v>
      </c>
      <c r="I383" s="2" t="s">
        <v>2</v>
      </c>
      <c r="J383" s="2" t="s">
        <v>2571</v>
      </c>
      <c r="K383" s="3">
        <v>0</v>
      </c>
      <c r="L383" s="3">
        <v>0</v>
      </c>
      <c r="M383" s="3">
        <v>0</v>
      </c>
      <c r="N383" s="3">
        <v>3</v>
      </c>
      <c r="O383" s="4">
        <v>0</v>
      </c>
      <c r="P383" s="4">
        <v>0</v>
      </c>
      <c r="Q383" s="4">
        <v>0</v>
      </c>
      <c r="R383" s="4">
        <v>61.6</v>
      </c>
      <c r="S383" s="4">
        <v>0</v>
      </c>
      <c r="T383" s="2" t="s">
        <v>2</v>
      </c>
      <c r="U383" s="2" t="s">
        <v>1061</v>
      </c>
      <c r="V383" s="2" t="s">
        <v>2</v>
      </c>
      <c r="W383" s="2" t="s">
        <v>2</v>
      </c>
    </row>
    <row r="384" spans="1:23" ht="24" customHeight="1" x14ac:dyDescent="0.3">
      <c r="A384" s="2" t="s">
        <v>1049</v>
      </c>
      <c r="B384" s="11"/>
      <c r="C384" s="11"/>
      <c r="D384" s="2" t="s">
        <v>2702</v>
      </c>
      <c r="E384" s="2" t="s">
        <v>2703</v>
      </c>
      <c r="F384" s="2" t="s">
        <v>2704</v>
      </c>
      <c r="G384" s="2" t="s">
        <v>2</v>
      </c>
      <c r="H384" s="2" t="s">
        <v>2</v>
      </c>
      <c r="I384" s="2" t="s">
        <v>121</v>
      </c>
      <c r="J384" s="2" t="s">
        <v>2</v>
      </c>
      <c r="K384" s="3">
        <v>0</v>
      </c>
      <c r="L384" s="3">
        <v>0</v>
      </c>
      <c r="M384" s="3">
        <v>4</v>
      </c>
      <c r="N384" s="3">
        <v>0</v>
      </c>
      <c r="O384" s="4">
        <v>0</v>
      </c>
      <c r="P384" s="4">
        <v>0</v>
      </c>
      <c r="Q384" s="4">
        <v>8.1</v>
      </c>
      <c r="R384" s="4">
        <v>0</v>
      </c>
      <c r="S384" s="4">
        <v>0</v>
      </c>
      <c r="T384" s="2" t="s">
        <v>2705</v>
      </c>
      <c r="U384" s="2" t="s">
        <v>2706</v>
      </c>
      <c r="V384" s="2" t="s">
        <v>2</v>
      </c>
      <c r="W384" s="2" t="s">
        <v>2</v>
      </c>
    </row>
    <row r="385" spans="1:23" ht="24" customHeight="1" x14ac:dyDescent="0.3">
      <c r="A385" s="2" t="s">
        <v>1049</v>
      </c>
      <c r="B385" s="11"/>
      <c r="C385" s="11"/>
      <c r="D385" s="2" t="s">
        <v>2702</v>
      </c>
      <c r="E385" s="2" t="s">
        <v>2703</v>
      </c>
      <c r="F385" s="2" t="s">
        <v>2704</v>
      </c>
      <c r="G385" s="2" t="s">
        <v>2</v>
      </c>
      <c r="H385" s="2" t="s">
        <v>2</v>
      </c>
      <c r="I385" s="2" t="s">
        <v>2</v>
      </c>
      <c r="J385" s="2" t="s">
        <v>28</v>
      </c>
      <c r="K385" s="3">
        <v>0</v>
      </c>
      <c r="L385" s="3">
        <v>0</v>
      </c>
      <c r="M385" s="3">
        <v>0</v>
      </c>
      <c r="N385" s="3">
        <v>2</v>
      </c>
      <c r="O385" s="4">
        <v>0</v>
      </c>
      <c r="P385" s="4">
        <v>0</v>
      </c>
      <c r="Q385" s="4">
        <v>0</v>
      </c>
      <c r="R385" s="4">
        <v>2</v>
      </c>
      <c r="S385" s="4">
        <v>0</v>
      </c>
      <c r="T385" s="2" t="s">
        <v>2705</v>
      </c>
      <c r="U385" s="2" t="s">
        <v>2706</v>
      </c>
      <c r="V385" s="2" t="s">
        <v>2</v>
      </c>
      <c r="W385" s="2" t="s">
        <v>2</v>
      </c>
    </row>
    <row r="386" spans="1:23" ht="24" customHeight="1" x14ac:dyDescent="0.3">
      <c r="A386" s="2" t="s">
        <v>1050</v>
      </c>
      <c r="B386" s="11"/>
      <c r="C386" s="11"/>
      <c r="D386" s="2" t="s">
        <v>2707</v>
      </c>
      <c r="E386" s="2" t="s">
        <v>2708</v>
      </c>
      <c r="F386" s="2" t="s">
        <v>2709</v>
      </c>
      <c r="G386" s="2" t="s">
        <v>2</v>
      </c>
      <c r="H386" s="2" t="s">
        <v>2</v>
      </c>
      <c r="I386" s="2" t="s">
        <v>2</v>
      </c>
      <c r="J386" s="2" t="s">
        <v>2571</v>
      </c>
      <c r="K386" s="3">
        <v>0</v>
      </c>
      <c r="L386" s="3">
        <v>0</v>
      </c>
      <c r="M386" s="3">
        <v>0</v>
      </c>
      <c r="N386" s="3">
        <v>2</v>
      </c>
      <c r="O386" s="4">
        <v>0</v>
      </c>
      <c r="P386" s="4">
        <v>0</v>
      </c>
      <c r="Q386" s="4">
        <v>0</v>
      </c>
      <c r="R386" s="4">
        <v>3.3</v>
      </c>
      <c r="S386" s="4">
        <v>153.5</v>
      </c>
      <c r="T386" s="2" t="s">
        <v>2</v>
      </c>
      <c r="U386" s="2" t="s">
        <v>2710</v>
      </c>
      <c r="V386" s="2" t="s">
        <v>2</v>
      </c>
      <c r="W386" s="2" t="s">
        <v>2</v>
      </c>
    </row>
    <row r="387" spans="1:23" ht="24" customHeight="1" x14ac:dyDescent="0.3">
      <c r="A387" s="2" t="s">
        <v>1051</v>
      </c>
      <c r="B387" s="11"/>
      <c r="C387" s="11"/>
      <c r="D387" s="2" t="s">
        <v>2711</v>
      </c>
      <c r="E387" s="2" t="s">
        <v>2712</v>
      </c>
      <c r="F387" s="2" t="s">
        <v>2713</v>
      </c>
      <c r="G387" s="2" t="s">
        <v>2</v>
      </c>
      <c r="H387" s="2" t="s">
        <v>2</v>
      </c>
      <c r="I387" s="2" t="s">
        <v>2</v>
      </c>
      <c r="J387" s="2" t="s">
        <v>28</v>
      </c>
      <c r="K387" s="3">
        <v>0</v>
      </c>
      <c r="L387" s="3">
        <v>0</v>
      </c>
      <c r="M387" s="3">
        <v>0</v>
      </c>
      <c r="N387" s="3">
        <v>2</v>
      </c>
      <c r="O387" s="4">
        <v>0</v>
      </c>
      <c r="P387" s="4">
        <v>0</v>
      </c>
      <c r="Q387" s="4">
        <v>0</v>
      </c>
      <c r="R387" s="4">
        <v>2</v>
      </c>
      <c r="S387" s="4">
        <v>0</v>
      </c>
      <c r="T387" s="2" t="s">
        <v>2</v>
      </c>
      <c r="U387" s="2" t="s">
        <v>2714</v>
      </c>
      <c r="V387" s="2" t="s">
        <v>2</v>
      </c>
      <c r="W387" s="2" t="s">
        <v>2</v>
      </c>
    </row>
    <row r="388" spans="1:23" ht="24" customHeight="1" x14ac:dyDescent="0.3">
      <c r="A388" s="2" t="s">
        <v>2715</v>
      </c>
      <c r="B388" s="11"/>
      <c r="C388" s="11"/>
      <c r="D388" s="2" t="s">
        <v>2716</v>
      </c>
      <c r="E388" s="2" t="s">
        <v>2717</v>
      </c>
      <c r="F388" s="2" t="s">
        <v>2718</v>
      </c>
      <c r="G388" s="2" t="s">
        <v>2</v>
      </c>
      <c r="H388" s="2" t="s">
        <v>2</v>
      </c>
      <c r="I388" s="2" t="s">
        <v>121</v>
      </c>
      <c r="J388" s="2" t="s">
        <v>2</v>
      </c>
      <c r="K388" s="3">
        <v>0</v>
      </c>
      <c r="L388" s="3">
        <v>0</v>
      </c>
      <c r="M388" s="3">
        <v>9</v>
      </c>
      <c r="N388" s="3">
        <v>0</v>
      </c>
      <c r="O388" s="4">
        <v>0</v>
      </c>
      <c r="P388" s="4">
        <v>0</v>
      </c>
      <c r="Q388" s="4">
        <v>20.7</v>
      </c>
      <c r="R388" s="4">
        <v>0</v>
      </c>
      <c r="S388" s="4">
        <v>0</v>
      </c>
      <c r="T388" s="2" t="s">
        <v>2719</v>
      </c>
      <c r="U388" s="2" t="s">
        <v>2720</v>
      </c>
      <c r="V388" s="2" t="s">
        <v>2</v>
      </c>
      <c r="W388" s="2" t="s">
        <v>2</v>
      </c>
    </row>
    <row r="389" spans="1:23" ht="24" customHeight="1" x14ac:dyDescent="0.3">
      <c r="A389" s="2" t="s">
        <v>2721</v>
      </c>
      <c r="B389" s="11"/>
      <c r="C389" s="11"/>
      <c r="D389" s="2" t="s">
        <v>2722</v>
      </c>
      <c r="E389" s="2" t="s">
        <v>2723</v>
      </c>
      <c r="F389" s="2" t="s">
        <v>2724</v>
      </c>
      <c r="G389" s="2" t="s">
        <v>2</v>
      </c>
      <c r="H389" s="2" t="s">
        <v>2</v>
      </c>
      <c r="I389" s="2" t="s">
        <v>2</v>
      </c>
      <c r="J389" s="2" t="s">
        <v>28</v>
      </c>
      <c r="K389" s="3">
        <v>0</v>
      </c>
      <c r="L389" s="3">
        <v>0</v>
      </c>
      <c r="M389" s="3">
        <v>0</v>
      </c>
      <c r="N389" s="3">
        <v>3</v>
      </c>
      <c r="O389" s="4">
        <v>0</v>
      </c>
      <c r="P389" s="4">
        <v>0</v>
      </c>
      <c r="Q389" s="4">
        <v>0</v>
      </c>
      <c r="R389" s="4">
        <v>27.6</v>
      </c>
      <c r="S389" s="4">
        <v>0</v>
      </c>
      <c r="T389" s="2" t="s">
        <v>2725</v>
      </c>
      <c r="U389" s="2" t="s">
        <v>2726</v>
      </c>
      <c r="V389" s="2" t="s">
        <v>2</v>
      </c>
      <c r="W389" s="2" t="s">
        <v>2</v>
      </c>
    </row>
    <row r="390" spans="1:23" ht="24" customHeight="1" x14ac:dyDescent="0.3">
      <c r="A390" s="2" t="s">
        <v>2727</v>
      </c>
      <c r="B390" s="11"/>
      <c r="C390" s="11"/>
      <c r="D390" s="2" t="s">
        <v>2728</v>
      </c>
      <c r="E390" s="2" t="s">
        <v>2729</v>
      </c>
      <c r="F390" s="2" t="s">
        <v>2730</v>
      </c>
      <c r="G390" s="2" t="s">
        <v>2</v>
      </c>
      <c r="H390" s="2" t="s">
        <v>2</v>
      </c>
      <c r="I390" s="2" t="s">
        <v>2</v>
      </c>
      <c r="J390" s="2" t="s">
        <v>28</v>
      </c>
      <c r="K390" s="3">
        <v>0</v>
      </c>
      <c r="L390" s="3">
        <v>0</v>
      </c>
      <c r="M390" s="3">
        <v>0</v>
      </c>
      <c r="N390" s="3">
        <v>3</v>
      </c>
      <c r="O390" s="4">
        <v>0</v>
      </c>
      <c r="P390" s="4">
        <v>0</v>
      </c>
      <c r="Q390" s="4">
        <v>0</v>
      </c>
      <c r="R390" s="4">
        <v>27.5</v>
      </c>
      <c r="S390" s="4">
        <v>1849.5</v>
      </c>
      <c r="T390" s="2" t="s">
        <v>2731</v>
      </c>
      <c r="U390" s="2" t="s">
        <v>2732</v>
      </c>
      <c r="V390" s="2" t="s">
        <v>2</v>
      </c>
      <c r="W390" s="2" t="s">
        <v>2</v>
      </c>
    </row>
    <row r="391" spans="1:23" ht="24" customHeight="1" x14ac:dyDescent="0.3">
      <c r="A391" s="2" t="s">
        <v>2733</v>
      </c>
      <c r="B391" s="11"/>
      <c r="C391" s="11"/>
      <c r="D391" s="2" t="s">
        <v>2734</v>
      </c>
      <c r="E391" s="2" t="s">
        <v>2735</v>
      </c>
      <c r="F391" s="2" t="s">
        <v>2736</v>
      </c>
      <c r="G391" s="2" t="s">
        <v>2</v>
      </c>
      <c r="H391" s="2" t="s">
        <v>2</v>
      </c>
      <c r="I391" s="2" t="s">
        <v>2</v>
      </c>
      <c r="J391" s="2" t="s">
        <v>28</v>
      </c>
      <c r="K391" s="3">
        <v>0</v>
      </c>
      <c r="L391" s="3">
        <v>0</v>
      </c>
      <c r="M391" s="3">
        <v>0</v>
      </c>
      <c r="N391" s="3">
        <v>2</v>
      </c>
      <c r="O391" s="4">
        <v>0</v>
      </c>
      <c r="P391" s="4">
        <v>0</v>
      </c>
      <c r="Q391" s="4">
        <v>0</v>
      </c>
      <c r="R391" s="4">
        <v>26</v>
      </c>
      <c r="S391" s="4">
        <v>142.80000000000001</v>
      </c>
      <c r="T391" s="2" t="s">
        <v>2737</v>
      </c>
      <c r="U391" s="2" t="s">
        <v>2738</v>
      </c>
      <c r="V391" s="2" t="s">
        <v>2</v>
      </c>
      <c r="W391" s="2" t="s">
        <v>2</v>
      </c>
    </row>
    <row r="392" spans="1:23" ht="24" customHeight="1" x14ac:dyDescent="0.3">
      <c r="A392" s="2" t="s">
        <v>2739</v>
      </c>
      <c r="B392" s="11"/>
      <c r="C392" s="11"/>
      <c r="D392" s="2" t="s">
        <v>2740</v>
      </c>
      <c r="E392" s="2" t="s">
        <v>2741</v>
      </c>
      <c r="F392" s="2" t="s">
        <v>2742</v>
      </c>
      <c r="G392" s="2" t="s">
        <v>2</v>
      </c>
      <c r="H392" s="2" t="s">
        <v>2</v>
      </c>
      <c r="I392" s="2" t="s">
        <v>2</v>
      </c>
      <c r="J392" s="2" t="s">
        <v>28</v>
      </c>
      <c r="K392" s="3">
        <v>0</v>
      </c>
      <c r="L392" s="3">
        <v>0</v>
      </c>
      <c r="M392" s="3">
        <v>0</v>
      </c>
      <c r="N392" s="3">
        <v>3</v>
      </c>
      <c r="O392" s="4">
        <v>0</v>
      </c>
      <c r="P392" s="4">
        <v>0</v>
      </c>
      <c r="Q392" s="4">
        <v>0</v>
      </c>
      <c r="R392" s="4">
        <v>22.7</v>
      </c>
      <c r="S392" s="4">
        <v>257.5</v>
      </c>
      <c r="T392" s="2" t="s">
        <v>2743</v>
      </c>
      <c r="U392" s="2" t="s">
        <v>1035</v>
      </c>
      <c r="V392" s="2" t="s">
        <v>2</v>
      </c>
      <c r="W392" s="2" t="s">
        <v>2</v>
      </c>
    </row>
    <row r="393" spans="1:23" ht="24" customHeight="1" x14ac:dyDescent="0.3">
      <c r="A393" s="2" t="s">
        <v>2744</v>
      </c>
      <c r="B393" s="11"/>
      <c r="C393" s="11"/>
      <c r="D393" s="2" t="s">
        <v>2745</v>
      </c>
      <c r="E393" s="2" t="s">
        <v>2746</v>
      </c>
      <c r="F393" s="2" t="s">
        <v>2747</v>
      </c>
      <c r="G393" s="2" t="s">
        <v>2</v>
      </c>
      <c r="H393" s="2" t="s">
        <v>2</v>
      </c>
      <c r="I393" s="2" t="s">
        <v>2</v>
      </c>
      <c r="J393" s="2" t="s">
        <v>28</v>
      </c>
      <c r="K393" s="3">
        <v>0</v>
      </c>
      <c r="L393" s="3">
        <v>0</v>
      </c>
      <c r="M393" s="3">
        <v>0</v>
      </c>
      <c r="N393" s="3">
        <v>2</v>
      </c>
      <c r="O393" s="4">
        <v>0</v>
      </c>
      <c r="P393" s="4">
        <v>0</v>
      </c>
      <c r="Q393" s="4">
        <v>0</v>
      </c>
      <c r="R393" s="4">
        <v>2.7</v>
      </c>
      <c r="S393" s="4">
        <v>0</v>
      </c>
      <c r="T393" s="2" t="s">
        <v>2</v>
      </c>
      <c r="U393" s="2" t="s">
        <v>631</v>
      </c>
      <c r="V393" s="2" t="s">
        <v>2</v>
      </c>
      <c r="W393" s="2" t="s">
        <v>2</v>
      </c>
    </row>
    <row r="394" spans="1:23" ht="24" customHeight="1" x14ac:dyDescent="0.3">
      <c r="A394" s="2" t="s">
        <v>2748</v>
      </c>
      <c r="B394" s="11"/>
      <c r="C394" s="11"/>
      <c r="D394" s="2" t="s">
        <v>2749</v>
      </c>
      <c r="E394" s="2" t="s">
        <v>2750</v>
      </c>
      <c r="F394" s="2" t="s">
        <v>2751</v>
      </c>
      <c r="G394" s="2" t="s">
        <v>26</v>
      </c>
      <c r="H394" s="2" t="s">
        <v>303</v>
      </c>
      <c r="I394" s="2" t="s">
        <v>2</v>
      </c>
      <c r="J394" s="2" t="s">
        <v>2</v>
      </c>
      <c r="K394" s="3">
        <v>7</v>
      </c>
      <c r="L394" s="3">
        <v>2</v>
      </c>
      <c r="M394" s="3">
        <v>0</v>
      </c>
      <c r="N394" s="3">
        <v>0</v>
      </c>
      <c r="O394" s="4">
        <v>40.4</v>
      </c>
      <c r="P394" s="4">
        <v>15.6</v>
      </c>
      <c r="Q394" s="4">
        <v>0</v>
      </c>
      <c r="R394" s="4">
        <v>0</v>
      </c>
      <c r="S394" s="4">
        <v>6801.2</v>
      </c>
      <c r="T394" s="2" t="s">
        <v>2752</v>
      </c>
      <c r="U394" s="2" t="s">
        <v>282</v>
      </c>
      <c r="V394" s="2" t="s">
        <v>2</v>
      </c>
      <c r="W394" s="2" t="s">
        <v>2</v>
      </c>
    </row>
    <row r="395" spans="1:23" ht="24" customHeight="1" x14ac:dyDescent="0.3">
      <c r="A395" s="2" t="s">
        <v>2753</v>
      </c>
      <c r="B395" s="11"/>
      <c r="C395" s="11"/>
      <c r="D395" s="2" t="s">
        <v>2754</v>
      </c>
      <c r="E395" s="2" t="s">
        <v>2750</v>
      </c>
      <c r="F395" s="2" t="s">
        <v>2755</v>
      </c>
      <c r="G395" s="2" t="s">
        <v>2</v>
      </c>
      <c r="H395" s="2" t="s">
        <v>2</v>
      </c>
      <c r="I395" s="2" t="s">
        <v>2</v>
      </c>
      <c r="J395" s="2" t="s">
        <v>2571</v>
      </c>
      <c r="K395" s="3">
        <v>0</v>
      </c>
      <c r="L395" s="3">
        <v>0</v>
      </c>
      <c r="M395" s="3">
        <v>0</v>
      </c>
      <c r="N395" s="3">
        <v>2</v>
      </c>
      <c r="O395" s="4">
        <v>0</v>
      </c>
      <c r="P395" s="4">
        <v>0</v>
      </c>
      <c r="Q395" s="4">
        <v>0</v>
      </c>
      <c r="R395" s="4">
        <v>35.299999999999997</v>
      </c>
      <c r="S395" s="4">
        <v>3884</v>
      </c>
      <c r="T395" s="2" t="s">
        <v>2756</v>
      </c>
      <c r="U395" s="2" t="s">
        <v>2757</v>
      </c>
      <c r="V395" s="2" t="s">
        <v>2</v>
      </c>
      <c r="W395" s="2" t="s">
        <v>2</v>
      </c>
    </row>
    <row r="396" spans="1:23" ht="24" customHeight="1" x14ac:dyDescent="0.3">
      <c r="A396" s="2" t="s">
        <v>2758</v>
      </c>
      <c r="B396" s="11"/>
      <c r="C396" s="11"/>
      <c r="D396" s="2" t="s">
        <v>2759</v>
      </c>
      <c r="E396" s="2" t="s">
        <v>2760</v>
      </c>
      <c r="F396" s="2" t="s">
        <v>2761</v>
      </c>
      <c r="G396" s="2" t="s">
        <v>2</v>
      </c>
      <c r="H396" s="2" t="s">
        <v>2</v>
      </c>
      <c r="I396" s="2" t="s">
        <v>2</v>
      </c>
      <c r="J396" s="2" t="s">
        <v>28</v>
      </c>
      <c r="K396" s="3">
        <v>0</v>
      </c>
      <c r="L396" s="3">
        <v>0</v>
      </c>
      <c r="M396" s="3">
        <v>0</v>
      </c>
      <c r="N396" s="3">
        <v>7</v>
      </c>
      <c r="O396" s="4">
        <v>0</v>
      </c>
      <c r="P396" s="4">
        <v>0</v>
      </c>
      <c r="Q396" s="4">
        <v>0</v>
      </c>
      <c r="R396" s="4">
        <v>81.7</v>
      </c>
      <c r="S396" s="4">
        <v>135227.1</v>
      </c>
      <c r="T396" s="2" t="s">
        <v>2762</v>
      </c>
      <c r="U396" s="2" t="s">
        <v>2763</v>
      </c>
      <c r="V396" s="2" t="s">
        <v>2</v>
      </c>
      <c r="W396" s="2" t="s">
        <v>2</v>
      </c>
    </row>
    <row r="397" spans="1:23" ht="24" customHeight="1" x14ac:dyDescent="0.3">
      <c r="A397" s="2" t="s">
        <v>2764</v>
      </c>
      <c r="B397" s="11"/>
      <c r="C397" s="11"/>
      <c r="D397" s="2" t="s">
        <v>2765</v>
      </c>
      <c r="E397" s="2" t="s">
        <v>2766</v>
      </c>
      <c r="F397" s="2" t="s">
        <v>2767</v>
      </c>
      <c r="G397" s="2" t="s">
        <v>2</v>
      </c>
      <c r="H397" s="2" t="s">
        <v>2</v>
      </c>
      <c r="I397" s="2" t="s">
        <v>2</v>
      </c>
      <c r="J397" s="2" t="s">
        <v>28</v>
      </c>
      <c r="K397" s="3">
        <v>0</v>
      </c>
      <c r="L397" s="3">
        <v>0</v>
      </c>
      <c r="M397" s="3">
        <v>0</v>
      </c>
      <c r="N397" s="3">
        <v>4</v>
      </c>
      <c r="O397" s="4">
        <v>0</v>
      </c>
      <c r="P397" s="4">
        <v>0</v>
      </c>
      <c r="Q397" s="4">
        <v>0</v>
      </c>
      <c r="R397" s="4">
        <v>7.8</v>
      </c>
      <c r="S397" s="4">
        <v>2532.5</v>
      </c>
      <c r="T397" s="2" t="s">
        <v>2768</v>
      </c>
      <c r="U397" s="2" t="s">
        <v>2769</v>
      </c>
      <c r="V397" s="2" t="s">
        <v>2</v>
      </c>
      <c r="W397" s="2" t="s">
        <v>2</v>
      </c>
    </row>
    <row r="398" spans="1:23" ht="24" customHeight="1" x14ac:dyDescent="0.3">
      <c r="A398" s="2" t="s">
        <v>2770</v>
      </c>
      <c r="B398" s="11"/>
      <c r="C398" s="11"/>
      <c r="D398" s="2" t="s">
        <v>2771</v>
      </c>
      <c r="E398" s="2" t="s">
        <v>2772</v>
      </c>
      <c r="F398" s="2" t="s">
        <v>2773</v>
      </c>
      <c r="G398" s="2" t="s">
        <v>2</v>
      </c>
      <c r="H398" s="2" t="s">
        <v>2</v>
      </c>
      <c r="I398" s="2" t="s">
        <v>121</v>
      </c>
      <c r="J398" s="2" t="s">
        <v>2</v>
      </c>
      <c r="K398" s="3">
        <v>0</v>
      </c>
      <c r="L398" s="3">
        <v>0</v>
      </c>
      <c r="M398" s="3">
        <v>3</v>
      </c>
      <c r="N398" s="3">
        <v>0</v>
      </c>
      <c r="O398" s="4">
        <v>0</v>
      </c>
      <c r="P398" s="4">
        <v>0</v>
      </c>
      <c r="Q398" s="4">
        <v>28.8</v>
      </c>
      <c r="R398" s="4">
        <v>0</v>
      </c>
      <c r="S398" s="4">
        <v>0</v>
      </c>
      <c r="T398" s="2" t="s">
        <v>2774</v>
      </c>
      <c r="U398" s="2" t="s">
        <v>2775</v>
      </c>
      <c r="V398" s="2" t="s">
        <v>2</v>
      </c>
      <c r="W398" s="2" t="s">
        <v>2</v>
      </c>
    </row>
    <row r="399" spans="1:23" ht="24" customHeight="1" x14ac:dyDescent="0.3">
      <c r="A399" s="2" t="s">
        <v>2776</v>
      </c>
      <c r="B399" s="11"/>
      <c r="C399" s="11"/>
      <c r="D399" s="2" t="s">
        <v>2777</v>
      </c>
      <c r="E399" s="2" t="s">
        <v>2778</v>
      </c>
      <c r="F399" s="2" t="s">
        <v>2779</v>
      </c>
      <c r="G399" s="2" t="s">
        <v>2</v>
      </c>
      <c r="H399" s="2" t="s">
        <v>2</v>
      </c>
      <c r="I399" s="2" t="s">
        <v>121</v>
      </c>
      <c r="J399" s="2" t="s">
        <v>2</v>
      </c>
      <c r="K399" s="3">
        <v>0</v>
      </c>
      <c r="L399" s="3">
        <v>0</v>
      </c>
      <c r="M399" s="3">
        <v>2</v>
      </c>
      <c r="N399" s="3">
        <v>0</v>
      </c>
      <c r="O399" s="4">
        <v>0</v>
      </c>
      <c r="P399" s="4">
        <v>0</v>
      </c>
      <c r="Q399" s="4">
        <v>2</v>
      </c>
      <c r="R399" s="4">
        <v>0</v>
      </c>
      <c r="S399" s="4">
        <v>255</v>
      </c>
      <c r="T399" s="2" t="s">
        <v>2780</v>
      </c>
      <c r="U399" s="2" t="s">
        <v>2781</v>
      </c>
      <c r="V399" s="2" t="s">
        <v>2</v>
      </c>
      <c r="W399" s="2" t="s">
        <v>2</v>
      </c>
    </row>
    <row r="400" spans="1:23" ht="24" customHeight="1" x14ac:dyDescent="0.3">
      <c r="A400" s="2" t="s">
        <v>2782</v>
      </c>
      <c r="B400" s="11"/>
      <c r="C400" s="11"/>
      <c r="D400" s="2" t="s">
        <v>2783</v>
      </c>
      <c r="E400" s="2" t="s">
        <v>2784</v>
      </c>
      <c r="F400" s="2" t="s">
        <v>2785</v>
      </c>
      <c r="G400" s="2" t="s">
        <v>2</v>
      </c>
      <c r="H400" s="2" t="s">
        <v>2</v>
      </c>
      <c r="I400" s="2" t="s">
        <v>2</v>
      </c>
      <c r="J400" s="2" t="s">
        <v>28</v>
      </c>
      <c r="K400" s="3">
        <v>0</v>
      </c>
      <c r="L400" s="3">
        <v>0</v>
      </c>
      <c r="M400" s="3">
        <v>0</v>
      </c>
      <c r="N400" s="3">
        <v>3</v>
      </c>
      <c r="O400" s="4">
        <v>0</v>
      </c>
      <c r="P400" s="4">
        <v>0</v>
      </c>
      <c r="Q400" s="4">
        <v>0</v>
      </c>
      <c r="R400" s="4">
        <v>45.2</v>
      </c>
      <c r="S400" s="4">
        <v>1652.9</v>
      </c>
      <c r="T400" s="2" t="s">
        <v>2786</v>
      </c>
      <c r="U400" s="2" t="s">
        <v>2787</v>
      </c>
      <c r="V400" s="2" t="s">
        <v>2</v>
      </c>
      <c r="W400" s="2" t="s">
        <v>2</v>
      </c>
    </row>
    <row r="401" spans="1:23" ht="24" customHeight="1" x14ac:dyDescent="0.3">
      <c r="A401" s="2" t="s">
        <v>2788</v>
      </c>
      <c r="B401" s="11"/>
      <c r="C401" s="11"/>
      <c r="D401" s="2" t="s">
        <v>2789</v>
      </c>
      <c r="E401" s="2" t="s">
        <v>2784</v>
      </c>
      <c r="F401" s="2" t="s">
        <v>2785</v>
      </c>
      <c r="G401" s="2" t="s">
        <v>2</v>
      </c>
      <c r="H401" s="2" t="s">
        <v>2</v>
      </c>
      <c r="I401" s="2" t="s">
        <v>121</v>
      </c>
      <c r="J401" s="2" t="s">
        <v>2</v>
      </c>
      <c r="K401" s="3">
        <v>0</v>
      </c>
      <c r="L401" s="3">
        <v>0</v>
      </c>
      <c r="M401" s="3">
        <v>4</v>
      </c>
      <c r="N401" s="3">
        <v>0</v>
      </c>
      <c r="O401" s="4">
        <v>0</v>
      </c>
      <c r="P401" s="4">
        <v>0</v>
      </c>
      <c r="Q401" s="4">
        <v>9.1999999999999993</v>
      </c>
      <c r="R401" s="4">
        <v>0</v>
      </c>
      <c r="S401" s="4">
        <v>1652.9</v>
      </c>
      <c r="T401" s="2" t="s">
        <v>2786</v>
      </c>
      <c r="U401" s="2" t="s">
        <v>127</v>
      </c>
      <c r="V401" s="2" t="s">
        <v>2</v>
      </c>
      <c r="W401" s="2" t="s">
        <v>2</v>
      </c>
    </row>
    <row r="402" spans="1:23" ht="24" customHeight="1" x14ac:dyDescent="0.3">
      <c r="A402" s="2" t="s">
        <v>2790</v>
      </c>
      <c r="B402" s="11"/>
      <c r="C402" s="11"/>
      <c r="D402" s="2" t="s">
        <v>2791</v>
      </c>
      <c r="E402" s="2" t="s">
        <v>2792</v>
      </c>
      <c r="F402" s="2" t="s">
        <v>2793</v>
      </c>
      <c r="G402" s="2" t="s">
        <v>2</v>
      </c>
      <c r="H402" s="2" t="s">
        <v>2</v>
      </c>
      <c r="I402" s="2" t="s">
        <v>2</v>
      </c>
      <c r="J402" s="2" t="s">
        <v>28</v>
      </c>
      <c r="K402" s="3">
        <v>0</v>
      </c>
      <c r="L402" s="3">
        <v>0</v>
      </c>
      <c r="M402" s="3">
        <v>0</v>
      </c>
      <c r="N402" s="3">
        <v>7</v>
      </c>
      <c r="O402" s="4">
        <v>0</v>
      </c>
      <c r="P402" s="4">
        <v>0</v>
      </c>
      <c r="Q402" s="4">
        <v>0</v>
      </c>
      <c r="R402" s="4">
        <v>10.3</v>
      </c>
      <c r="S402" s="4">
        <v>1434.9</v>
      </c>
      <c r="T402" s="2" t="s">
        <v>2794</v>
      </c>
      <c r="U402" s="2" t="s">
        <v>1064</v>
      </c>
      <c r="V402" s="2" t="s">
        <v>2</v>
      </c>
      <c r="W402" s="2" t="s">
        <v>2</v>
      </c>
    </row>
    <row r="403" spans="1:23" ht="24" customHeight="1" x14ac:dyDescent="0.3">
      <c r="A403" s="2" t="s">
        <v>2795</v>
      </c>
      <c r="B403" s="11"/>
      <c r="C403" s="11"/>
      <c r="D403" s="2" t="s">
        <v>2796</v>
      </c>
      <c r="E403" s="2" t="s">
        <v>2797</v>
      </c>
      <c r="F403" s="2" t="s">
        <v>2798</v>
      </c>
      <c r="G403" s="2" t="s">
        <v>2</v>
      </c>
      <c r="H403" s="2" t="s">
        <v>2</v>
      </c>
      <c r="I403" s="2" t="s">
        <v>2</v>
      </c>
      <c r="J403" s="2" t="s">
        <v>28</v>
      </c>
      <c r="K403" s="3">
        <v>0</v>
      </c>
      <c r="L403" s="3">
        <v>0</v>
      </c>
      <c r="M403" s="3">
        <v>0</v>
      </c>
      <c r="N403" s="3">
        <v>2</v>
      </c>
      <c r="O403" s="4">
        <v>0</v>
      </c>
      <c r="P403" s="4">
        <v>0</v>
      </c>
      <c r="Q403" s="4">
        <v>0</v>
      </c>
      <c r="R403" s="4">
        <v>2</v>
      </c>
      <c r="S403" s="4">
        <v>0</v>
      </c>
      <c r="T403" s="2" t="s">
        <v>2</v>
      </c>
      <c r="U403" s="2" t="s">
        <v>284</v>
      </c>
      <c r="V403" s="2" t="s">
        <v>2</v>
      </c>
      <c r="W403" s="2" t="s">
        <v>2</v>
      </c>
    </row>
    <row r="404" spans="1:23" ht="24" customHeight="1" x14ac:dyDescent="0.3">
      <c r="A404" s="2" t="s">
        <v>2799</v>
      </c>
      <c r="B404" s="11"/>
      <c r="C404" s="11"/>
      <c r="D404" s="2" t="s">
        <v>2800</v>
      </c>
      <c r="E404" s="2" t="s">
        <v>2801</v>
      </c>
      <c r="F404" s="2" t="s">
        <v>2802</v>
      </c>
      <c r="G404" s="2" t="s">
        <v>2</v>
      </c>
      <c r="H404" s="2" t="s">
        <v>2</v>
      </c>
      <c r="I404" s="2" t="s">
        <v>2</v>
      </c>
      <c r="J404" s="2" t="s">
        <v>28</v>
      </c>
      <c r="K404" s="3">
        <v>0</v>
      </c>
      <c r="L404" s="3">
        <v>0</v>
      </c>
      <c r="M404" s="3">
        <v>0</v>
      </c>
      <c r="N404" s="3">
        <v>2</v>
      </c>
      <c r="O404" s="4">
        <v>0</v>
      </c>
      <c r="P404" s="4">
        <v>0</v>
      </c>
      <c r="Q404" s="4">
        <v>0</v>
      </c>
      <c r="R404" s="4">
        <v>4.8</v>
      </c>
      <c r="S404" s="4">
        <v>4.2</v>
      </c>
      <c r="T404" s="2" t="s">
        <v>2803</v>
      </c>
      <c r="U404" s="2" t="s">
        <v>633</v>
      </c>
      <c r="V404" s="2" t="s">
        <v>2</v>
      </c>
      <c r="W404" s="2" t="s">
        <v>2</v>
      </c>
    </row>
    <row r="405" spans="1:23" ht="24" customHeight="1" x14ac:dyDescent="0.3">
      <c r="A405" s="2" t="s">
        <v>2804</v>
      </c>
      <c r="B405" s="11"/>
      <c r="C405" s="11"/>
      <c r="D405" s="2" t="s">
        <v>2805</v>
      </c>
      <c r="E405" s="2" t="s">
        <v>2806</v>
      </c>
      <c r="F405" s="2" t="s">
        <v>2807</v>
      </c>
      <c r="G405" s="2" t="s">
        <v>2</v>
      </c>
      <c r="H405" s="2" t="s">
        <v>2</v>
      </c>
      <c r="I405" s="2" t="s">
        <v>121</v>
      </c>
      <c r="J405" s="2" t="s">
        <v>2</v>
      </c>
      <c r="K405" s="3">
        <v>0</v>
      </c>
      <c r="L405" s="3">
        <v>0</v>
      </c>
      <c r="M405" s="3">
        <v>4</v>
      </c>
      <c r="N405" s="3">
        <v>0</v>
      </c>
      <c r="O405" s="4">
        <v>0</v>
      </c>
      <c r="P405" s="4">
        <v>0</v>
      </c>
      <c r="Q405" s="4">
        <v>9.6999999999999993</v>
      </c>
      <c r="R405" s="4">
        <v>0</v>
      </c>
      <c r="S405" s="4">
        <v>0</v>
      </c>
      <c r="T405" s="2" t="s">
        <v>2808</v>
      </c>
      <c r="U405" s="2" t="s">
        <v>2809</v>
      </c>
      <c r="V405" s="2" t="s">
        <v>2</v>
      </c>
      <c r="W405" s="2" t="s">
        <v>2</v>
      </c>
    </row>
    <row r="406" spans="1:23" ht="24" customHeight="1" x14ac:dyDescent="0.3">
      <c r="A406" s="2" t="s">
        <v>2810</v>
      </c>
      <c r="B406" s="11"/>
      <c r="C406" s="11"/>
      <c r="D406" s="2" t="s">
        <v>2811</v>
      </c>
      <c r="E406" s="2" t="s">
        <v>2806</v>
      </c>
      <c r="F406" s="2" t="s">
        <v>2812</v>
      </c>
      <c r="G406" s="2" t="s">
        <v>2</v>
      </c>
      <c r="H406" s="2" t="s">
        <v>2</v>
      </c>
      <c r="I406" s="2" t="s">
        <v>2</v>
      </c>
      <c r="J406" s="2" t="s">
        <v>28</v>
      </c>
      <c r="K406" s="3">
        <v>0</v>
      </c>
      <c r="L406" s="3">
        <v>0</v>
      </c>
      <c r="M406" s="3">
        <v>0</v>
      </c>
      <c r="N406" s="3">
        <v>2</v>
      </c>
      <c r="O406" s="4">
        <v>0</v>
      </c>
      <c r="P406" s="4">
        <v>0</v>
      </c>
      <c r="Q406" s="4">
        <v>0</v>
      </c>
      <c r="R406" s="4">
        <v>22.8</v>
      </c>
      <c r="S406" s="4">
        <v>0</v>
      </c>
      <c r="T406" s="2" t="s">
        <v>2813</v>
      </c>
      <c r="U406" s="2" t="s">
        <v>2814</v>
      </c>
      <c r="V406" s="2" t="s">
        <v>2</v>
      </c>
      <c r="W406" s="2" t="s">
        <v>2</v>
      </c>
    </row>
    <row r="407" spans="1:23" ht="24" customHeight="1" x14ac:dyDescent="0.3">
      <c r="A407" s="2" t="s">
        <v>2815</v>
      </c>
      <c r="B407" s="11"/>
      <c r="C407" s="11"/>
      <c r="D407" s="2" t="s">
        <v>2816</v>
      </c>
      <c r="E407" s="2" t="s">
        <v>2817</v>
      </c>
      <c r="F407" s="2" t="s">
        <v>2818</v>
      </c>
      <c r="G407" s="2" t="s">
        <v>2</v>
      </c>
      <c r="H407" s="2" t="s">
        <v>2</v>
      </c>
      <c r="I407" s="2" t="s">
        <v>2</v>
      </c>
      <c r="J407" s="2" t="s">
        <v>28</v>
      </c>
      <c r="K407" s="3">
        <v>0</v>
      </c>
      <c r="L407" s="3">
        <v>0</v>
      </c>
      <c r="M407" s="3">
        <v>0</v>
      </c>
      <c r="N407" s="3">
        <v>2</v>
      </c>
      <c r="O407" s="4">
        <v>0</v>
      </c>
      <c r="P407" s="4">
        <v>0</v>
      </c>
      <c r="Q407" s="4">
        <v>0</v>
      </c>
      <c r="R407" s="4">
        <v>2</v>
      </c>
      <c r="S407" s="4">
        <v>49.9</v>
      </c>
      <c r="T407" s="2" t="s">
        <v>2819</v>
      </c>
      <c r="U407" s="2" t="s">
        <v>2820</v>
      </c>
      <c r="V407" s="2" t="s">
        <v>2</v>
      </c>
      <c r="W407" s="2" t="s">
        <v>2</v>
      </c>
    </row>
    <row r="408" spans="1:23" ht="24" customHeight="1" x14ac:dyDescent="0.3">
      <c r="A408" s="2" t="s">
        <v>2821</v>
      </c>
      <c r="B408" s="11"/>
      <c r="C408" s="11"/>
      <c r="D408" s="2" t="s">
        <v>2822</v>
      </c>
      <c r="E408" s="2" t="s">
        <v>2823</v>
      </c>
      <c r="F408" s="2" t="s">
        <v>2824</v>
      </c>
      <c r="G408" s="2" t="s">
        <v>2</v>
      </c>
      <c r="H408" s="2" t="s">
        <v>2</v>
      </c>
      <c r="I408" s="2" t="s">
        <v>2</v>
      </c>
      <c r="J408" s="2" t="s">
        <v>28</v>
      </c>
      <c r="K408" s="3">
        <v>0</v>
      </c>
      <c r="L408" s="3">
        <v>0</v>
      </c>
      <c r="M408" s="3">
        <v>0</v>
      </c>
      <c r="N408" s="3">
        <v>3</v>
      </c>
      <c r="O408" s="4">
        <v>0</v>
      </c>
      <c r="P408" s="4">
        <v>0</v>
      </c>
      <c r="Q408" s="4">
        <v>0</v>
      </c>
      <c r="R408" s="4">
        <v>2.8</v>
      </c>
      <c r="S408" s="4">
        <v>3617.4</v>
      </c>
      <c r="T408" s="2" t="s">
        <v>2825</v>
      </c>
      <c r="U408" s="2" t="s">
        <v>2826</v>
      </c>
      <c r="V408" s="2" t="s">
        <v>2</v>
      </c>
      <c r="W408" s="2" t="s">
        <v>2</v>
      </c>
    </row>
    <row r="409" spans="1:23" ht="24" customHeight="1" x14ac:dyDescent="0.3">
      <c r="A409" s="2" t="s">
        <v>2827</v>
      </c>
      <c r="B409" s="11"/>
      <c r="C409" s="11"/>
      <c r="D409" s="2" t="s">
        <v>2828</v>
      </c>
      <c r="E409" s="2" t="s">
        <v>2829</v>
      </c>
      <c r="F409" s="2" t="s">
        <v>2830</v>
      </c>
      <c r="G409" s="2" t="s">
        <v>2</v>
      </c>
      <c r="H409" s="2" t="s">
        <v>2</v>
      </c>
      <c r="I409" s="2" t="s">
        <v>2</v>
      </c>
      <c r="J409" s="2" t="s">
        <v>28</v>
      </c>
      <c r="K409" s="3">
        <v>0</v>
      </c>
      <c r="L409" s="3">
        <v>0</v>
      </c>
      <c r="M409" s="3">
        <v>0</v>
      </c>
      <c r="N409" s="3">
        <v>2</v>
      </c>
      <c r="O409" s="4">
        <v>0</v>
      </c>
      <c r="P409" s="4">
        <v>0</v>
      </c>
      <c r="Q409" s="4">
        <v>0</v>
      </c>
      <c r="R409" s="4">
        <v>4</v>
      </c>
      <c r="S409" s="4">
        <v>0</v>
      </c>
      <c r="T409" s="2" t="s">
        <v>2831</v>
      </c>
      <c r="U409" s="2" t="s">
        <v>2832</v>
      </c>
      <c r="V409" s="2" t="s">
        <v>2</v>
      </c>
      <c r="W409" s="2" t="s">
        <v>2</v>
      </c>
    </row>
    <row r="410" spans="1:23" ht="24" customHeight="1" x14ac:dyDescent="0.3">
      <c r="A410" s="2" t="s">
        <v>2833</v>
      </c>
      <c r="B410" s="11"/>
      <c r="C410" s="11"/>
      <c r="D410" s="2" t="s">
        <v>2834</v>
      </c>
      <c r="E410" s="2" t="s">
        <v>2835</v>
      </c>
      <c r="F410" s="2" t="s">
        <v>2836</v>
      </c>
      <c r="G410" s="2" t="s">
        <v>2</v>
      </c>
      <c r="H410" s="2" t="s">
        <v>2</v>
      </c>
      <c r="I410" s="2" t="s">
        <v>2</v>
      </c>
      <c r="J410" s="2" t="s">
        <v>28</v>
      </c>
      <c r="K410" s="3">
        <v>0</v>
      </c>
      <c r="L410" s="3">
        <v>0</v>
      </c>
      <c r="M410" s="3">
        <v>0</v>
      </c>
      <c r="N410" s="3">
        <v>3</v>
      </c>
      <c r="O410" s="4">
        <v>0</v>
      </c>
      <c r="P410" s="4">
        <v>0</v>
      </c>
      <c r="Q410" s="4">
        <v>0</v>
      </c>
      <c r="R410" s="4">
        <v>76</v>
      </c>
      <c r="S410" s="4">
        <v>0</v>
      </c>
      <c r="T410" s="2" t="s">
        <v>2837</v>
      </c>
      <c r="U410" s="2" t="s">
        <v>2838</v>
      </c>
      <c r="V410" s="2" t="s">
        <v>2</v>
      </c>
      <c r="W410" s="2" t="s">
        <v>2</v>
      </c>
    </row>
    <row r="411" spans="1:23" ht="24" customHeight="1" x14ac:dyDescent="0.3">
      <c r="A411" s="2" t="s">
        <v>2839</v>
      </c>
      <c r="B411" s="11"/>
      <c r="C411" s="11"/>
      <c r="D411" s="2" t="s">
        <v>2840</v>
      </c>
      <c r="E411" s="2" t="s">
        <v>2841</v>
      </c>
      <c r="F411" s="2" t="s">
        <v>2836</v>
      </c>
      <c r="G411" s="2" t="s">
        <v>2</v>
      </c>
      <c r="H411" s="2" t="s">
        <v>2</v>
      </c>
      <c r="I411" s="2" t="s">
        <v>2</v>
      </c>
      <c r="J411" s="2" t="s">
        <v>28</v>
      </c>
      <c r="K411" s="3">
        <v>0</v>
      </c>
      <c r="L411" s="3">
        <v>0</v>
      </c>
      <c r="M411" s="3">
        <v>0</v>
      </c>
      <c r="N411" s="3">
        <v>12</v>
      </c>
      <c r="O411" s="4">
        <v>0</v>
      </c>
      <c r="P411" s="4">
        <v>0</v>
      </c>
      <c r="Q411" s="4">
        <v>0</v>
      </c>
      <c r="R411" s="4">
        <v>86</v>
      </c>
      <c r="S411" s="4">
        <v>0</v>
      </c>
      <c r="T411" s="2" t="s">
        <v>2842</v>
      </c>
      <c r="U411" s="2" t="s">
        <v>2843</v>
      </c>
      <c r="V411" s="2" t="s">
        <v>2</v>
      </c>
      <c r="W411" s="2" t="s">
        <v>2</v>
      </c>
    </row>
    <row r="412" spans="1:23" ht="24" customHeight="1" x14ac:dyDescent="0.3">
      <c r="A412" s="2" t="s">
        <v>2844</v>
      </c>
      <c r="B412" s="11"/>
      <c r="C412" s="11"/>
      <c r="D412" s="2" t="s">
        <v>2845</v>
      </c>
      <c r="E412" s="2" t="s">
        <v>2846</v>
      </c>
      <c r="F412" s="2" t="s">
        <v>2847</v>
      </c>
      <c r="G412" s="2" t="s">
        <v>2</v>
      </c>
      <c r="H412" s="2" t="s">
        <v>2</v>
      </c>
      <c r="I412" s="2" t="s">
        <v>2</v>
      </c>
      <c r="J412" s="2" t="s">
        <v>28</v>
      </c>
      <c r="K412" s="3">
        <v>0</v>
      </c>
      <c r="L412" s="3">
        <v>0</v>
      </c>
      <c r="M412" s="3">
        <v>0</v>
      </c>
      <c r="N412" s="3">
        <v>2</v>
      </c>
      <c r="O412" s="4">
        <v>0</v>
      </c>
      <c r="P412" s="4">
        <v>0</v>
      </c>
      <c r="Q412" s="4">
        <v>0</v>
      </c>
      <c r="R412" s="4">
        <v>48.6</v>
      </c>
      <c r="S412" s="4">
        <v>25227.200000000001</v>
      </c>
      <c r="T412" s="2" t="s">
        <v>2848</v>
      </c>
      <c r="U412" s="2" t="s">
        <v>2849</v>
      </c>
      <c r="V412" s="2" t="s">
        <v>2</v>
      </c>
      <c r="W412" s="2" t="s">
        <v>2</v>
      </c>
    </row>
    <row r="413" spans="1:23" ht="24" customHeight="1" x14ac:dyDescent="0.3">
      <c r="A413" s="2" t="s">
        <v>2844</v>
      </c>
      <c r="B413" s="11"/>
      <c r="C413" s="11"/>
      <c r="D413" s="2" t="s">
        <v>2845</v>
      </c>
      <c r="E413" s="2" t="s">
        <v>2846</v>
      </c>
      <c r="F413" s="2" t="s">
        <v>2847</v>
      </c>
      <c r="G413" s="2" t="s">
        <v>2</v>
      </c>
      <c r="H413" s="2" t="s">
        <v>2</v>
      </c>
      <c r="I413" s="2" t="s">
        <v>121</v>
      </c>
      <c r="J413" s="2" t="s">
        <v>2</v>
      </c>
      <c r="K413" s="3">
        <v>0</v>
      </c>
      <c r="L413" s="3">
        <v>0</v>
      </c>
      <c r="M413" s="3">
        <v>4</v>
      </c>
      <c r="N413" s="3">
        <v>0</v>
      </c>
      <c r="O413" s="4">
        <v>0</v>
      </c>
      <c r="P413" s="4">
        <v>0</v>
      </c>
      <c r="Q413" s="4">
        <v>29.5</v>
      </c>
      <c r="R413" s="4">
        <v>0</v>
      </c>
      <c r="S413" s="4">
        <v>25227.200000000001</v>
      </c>
      <c r="T413" s="2" t="s">
        <v>2848</v>
      </c>
      <c r="U413" s="2" t="s">
        <v>2850</v>
      </c>
      <c r="V413" s="2" t="s">
        <v>2</v>
      </c>
      <c r="W413" s="2" t="s">
        <v>2</v>
      </c>
    </row>
    <row r="414" spans="1:23" ht="24" customHeight="1" x14ac:dyDescent="0.3">
      <c r="A414" s="2" t="s">
        <v>2851</v>
      </c>
      <c r="B414" s="11"/>
      <c r="C414" s="11"/>
      <c r="D414" s="2" t="s">
        <v>2852</v>
      </c>
      <c r="E414" s="2" t="s">
        <v>2853</v>
      </c>
      <c r="F414" s="2" t="s">
        <v>2854</v>
      </c>
      <c r="G414" s="2" t="s">
        <v>2</v>
      </c>
      <c r="H414" s="2" t="s">
        <v>2</v>
      </c>
      <c r="I414" s="2" t="s">
        <v>121</v>
      </c>
      <c r="J414" s="2" t="s">
        <v>2</v>
      </c>
      <c r="K414" s="3">
        <v>0</v>
      </c>
      <c r="L414" s="3">
        <v>0</v>
      </c>
      <c r="M414" s="3">
        <v>4</v>
      </c>
      <c r="N414" s="3">
        <v>0</v>
      </c>
      <c r="O414" s="4">
        <v>0</v>
      </c>
      <c r="P414" s="4">
        <v>0</v>
      </c>
      <c r="Q414" s="4">
        <v>14.3</v>
      </c>
      <c r="R414" s="4">
        <v>0</v>
      </c>
      <c r="S414" s="4">
        <v>730.8</v>
      </c>
      <c r="T414" s="2" t="s">
        <v>2855</v>
      </c>
      <c r="U414" s="2" t="s">
        <v>2856</v>
      </c>
      <c r="V414" s="2" t="s">
        <v>2</v>
      </c>
      <c r="W414" s="2" t="s">
        <v>2</v>
      </c>
    </row>
    <row r="415" spans="1:23" ht="24" customHeight="1" x14ac:dyDescent="0.3">
      <c r="A415" s="2" t="s">
        <v>2857</v>
      </c>
      <c r="B415" s="11"/>
      <c r="C415" s="11"/>
      <c r="D415" s="2" t="s">
        <v>2858</v>
      </c>
      <c r="E415" s="2" t="s">
        <v>2859</v>
      </c>
      <c r="F415" s="2" t="s">
        <v>2860</v>
      </c>
      <c r="G415" s="2" t="s">
        <v>2</v>
      </c>
      <c r="H415" s="2" t="s">
        <v>2</v>
      </c>
      <c r="I415" s="2" t="s">
        <v>121</v>
      </c>
      <c r="J415" s="2" t="s">
        <v>2</v>
      </c>
      <c r="K415" s="3">
        <v>0</v>
      </c>
      <c r="L415" s="3">
        <v>0</v>
      </c>
      <c r="M415" s="3">
        <v>6</v>
      </c>
      <c r="N415" s="3">
        <v>0</v>
      </c>
      <c r="O415" s="4">
        <v>0</v>
      </c>
      <c r="P415" s="4">
        <v>0</v>
      </c>
      <c r="Q415" s="4">
        <v>28.6</v>
      </c>
      <c r="R415" s="4">
        <v>0</v>
      </c>
      <c r="S415" s="4">
        <v>503.2</v>
      </c>
      <c r="T415" s="2" t="s">
        <v>2861</v>
      </c>
      <c r="U415" s="2" t="s">
        <v>2683</v>
      </c>
      <c r="V415" s="2" t="s">
        <v>2</v>
      </c>
      <c r="W415" s="2" t="s">
        <v>2</v>
      </c>
    </row>
    <row r="416" spans="1:23" ht="24" customHeight="1" x14ac:dyDescent="0.3">
      <c r="A416" s="2" t="s">
        <v>2862</v>
      </c>
      <c r="B416" s="11"/>
      <c r="C416" s="11"/>
      <c r="D416" s="2" t="s">
        <v>2863</v>
      </c>
      <c r="E416" s="2" t="s">
        <v>2864</v>
      </c>
      <c r="F416" s="2" t="s">
        <v>2865</v>
      </c>
      <c r="G416" s="2" t="s">
        <v>2</v>
      </c>
      <c r="H416" s="2" t="s">
        <v>2</v>
      </c>
      <c r="I416" s="2" t="s">
        <v>2</v>
      </c>
      <c r="J416" s="2" t="s">
        <v>28</v>
      </c>
      <c r="K416" s="3">
        <v>0</v>
      </c>
      <c r="L416" s="3">
        <v>0</v>
      </c>
      <c r="M416" s="3">
        <v>0</v>
      </c>
      <c r="N416" s="3">
        <v>2</v>
      </c>
      <c r="O416" s="4">
        <v>0</v>
      </c>
      <c r="P416" s="4">
        <v>0</v>
      </c>
      <c r="Q416" s="4">
        <v>0</v>
      </c>
      <c r="R416" s="4">
        <v>20.5</v>
      </c>
      <c r="S416" s="4">
        <v>9180.7999999999993</v>
      </c>
      <c r="T416" s="2" t="s">
        <v>2866</v>
      </c>
      <c r="U416" s="2" t="s">
        <v>2867</v>
      </c>
      <c r="V416" s="2" t="s">
        <v>2</v>
      </c>
      <c r="W416" s="2" t="s">
        <v>2</v>
      </c>
    </row>
    <row r="417" spans="1:23" ht="24" customHeight="1" x14ac:dyDescent="0.3">
      <c r="A417" s="2" t="s">
        <v>2868</v>
      </c>
      <c r="B417" s="11"/>
      <c r="C417" s="11"/>
      <c r="D417" s="2" t="s">
        <v>2869</v>
      </c>
      <c r="E417" s="2" t="s">
        <v>2870</v>
      </c>
      <c r="F417" s="2" t="s">
        <v>2871</v>
      </c>
      <c r="G417" s="2" t="s">
        <v>2</v>
      </c>
      <c r="H417" s="2" t="s">
        <v>2</v>
      </c>
      <c r="I417" s="2" t="s">
        <v>2</v>
      </c>
      <c r="J417" s="2" t="s">
        <v>28</v>
      </c>
      <c r="K417" s="3">
        <v>0</v>
      </c>
      <c r="L417" s="3">
        <v>0</v>
      </c>
      <c r="M417" s="3">
        <v>0</v>
      </c>
      <c r="N417" s="3">
        <v>2</v>
      </c>
      <c r="O417" s="4">
        <v>0</v>
      </c>
      <c r="P417" s="4">
        <v>0</v>
      </c>
      <c r="Q417" s="4">
        <v>0</v>
      </c>
      <c r="R417" s="4">
        <v>26.5</v>
      </c>
      <c r="S417" s="4">
        <v>0</v>
      </c>
      <c r="T417" s="2" t="s">
        <v>2</v>
      </c>
      <c r="U417" s="2" t="s">
        <v>2872</v>
      </c>
      <c r="V417" s="2" t="s">
        <v>2</v>
      </c>
      <c r="W417" s="2" t="s">
        <v>2</v>
      </c>
    </row>
    <row r="418" spans="1:23" ht="24" customHeight="1" x14ac:dyDescent="0.3">
      <c r="A418" s="2" t="s">
        <v>2873</v>
      </c>
      <c r="B418" s="11"/>
      <c r="C418" s="11"/>
      <c r="D418" s="2" t="s">
        <v>2874</v>
      </c>
      <c r="E418" s="2" t="s">
        <v>2875</v>
      </c>
      <c r="F418" s="2" t="s">
        <v>2876</v>
      </c>
      <c r="G418" s="2" t="s">
        <v>2</v>
      </c>
      <c r="H418" s="2" t="s">
        <v>2</v>
      </c>
      <c r="I418" s="2" t="s">
        <v>2</v>
      </c>
      <c r="J418" s="2" t="s">
        <v>28</v>
      </c>
      <c r="K418" s="3">
        <v>0</v>
      </c>
      <c r="L418" s="3">
        <v>0</v>
      </c>
      <c r="M418" s="3">
        <v>0</v>
      </c>
      <c r="N418" s="3">
        <v>2</v>
      </c>
      <c r="O418" s="4">
        <v>0</v>
      </c>
      <c r="P418" s="4">
        <v>0</v>
      </c>
      <c r="Q418" s="4">
        <v>0</v>
      </c>
      <c r="R418" s="4">
        <v>48</v>
      </c>
      <c r="S418" s="4">
        <v>14288.6</v>
      </c>
      <c r="T418" s="2" t="s">
        <v>2877</v>
      </c>
      <c r="U418" s="2" t="s">
        <v>2878</v>
      </c>
      <c r="V418" s="2" t="s">
        <v>2</v>
      </c>
      <c r="W418" s="2" t="s">
        <v>2</v>
      </c>
    </row>
    <row r="419" spans="1:23" ht="24" customHeight="1" x14ac:dyDescent="0.3">
      <c r="A419" s="2" t="s">
        <v>2879</v>
      </c>
      <c r="B419" s="11"/>
      <c r="C419" s="11"/>
      <c r="D419" s="2" t="s">
        <v>2880</v>
      </c>
      <c r="E419" s="2" t="s">
        <v>2881</v>
      </c>
      <c r="F419" s="2" t="s">
        <v>2882</v>
      </c>
      <c r="G419" s="2" t="s">
        <v>2</v>
      </c>
      <c r="H419" s="2" t="s">
        <v>2</v>
      </c>
      <c r="I419" s="2" t="s">
        <v>2</v>
      </c>
      <c r="J419" s="2" t="s">
        <v>28</v>
      </c>
      <c r="K419" s="3">
        <v>0</v>
      </c>
      <c r="L419" s="3">
        <v>0</v>
      </c>
      <c r="M419" s="3">
        <v>0</v>
      </c>
      <c r="N419" s="3">
        <v>13</v>
      </c>
      <c r="O419" s="4">
        <v>0</v>
      </c>
      <c r="P419" s="4">
        <v>0</v>
      </c>
      <c r="Q419" s="4">
        <v>0</v>
      </c>
      <c r="R419" s="4">
        <v>302.8</v>
      </c>
      <c r="S419" s="4">
        <v>3104.8</v>
      </c>
      <c r="T419" s="2" t="s">
        <v>2</v>
      </c>
      <c r="U419" s="2" t="s">
        <v>726</v>
      </c>
      <c r="V419" s="2" t="s">
        <v>2</v>
      </c>
      <c r="W419" s="2" t="s">
        <v>510</v>
      </c>
    </row>
    <row r="420" spans="1:23" ht="24" customHeight="1" x14ac:dyDescent="0.3">
      <c r="A420" s="2" t="s">
        <v>2883</v>
      </c>
      <c r="B420" s="11"/>
      <c r="C420" s="11"/>
      <c r="D420" s="2" t="s">
        <v>2884</v>
      </c>
      <c r="E420" s="2" t="s">
        <v>2885</v>
      </c>
      <c r="F420" s="2" t="s">
        <v>2886</v>
      </c>
      <c r="G420" s="2" t="s">
        <v>2</v>
      </c>
      <c r="H420" s="2" t="s">
        <v>2</v>
      </c>
      <c r="I420" s="2" t="s">
        <v>2</v>
      </c>
      <c r="J420" s="2" t="s">
        <v>28</v>
      </c>
      <c r="K420" s="3">
        <v>0</v>
      </c>
      <c r="L420" s="3">
        <v>0</v>
      </c>
      <c r="M420" s="3">
        <v>0</v>
      </c>
      <c r="N420" s="3">
        <v>4</v>
      </c>
      <c r="O420" s="4">
        <v>0</v>
      </c>
      <c r="P420" s="4">
        <v>0</v>
      </c>
      <c r="Q420" s="4">
        <v>0</v>
      </c>
      <c r="R420" s="4">
        <v>4.5</v>
      </c>
      <c r="S420" s="4">
        <v>0</v>
      </c>
      <c r="T420" s="2" t="s">
        <v>2</v>
      </c>
      <c r="U420" s="2" t="s">
        <v>2887</v>
      </c>
      <c r="V420" s="2" t="s">
        <v>2</v>
      </c>
      <c r="W420" s="2" t="s">
        <v>510</v>
      </c>
    </row>
    <row r="421" spans="1:23" ht="24" customHeight="1" x14ac:dyDescent="0.3">
      <c r="A421" s="2" t="s">
        <v>2888</v>
      </c>
      <c r="B421" s="11"/>
      <c r="C421" s="11"/>
      <c r="D421" s="2" t="s">
        <v>2889</v>
      </c>
      <c r="E421" s="2" t="s">
        <v>2890</v>
      </c>
      <c r="F421" s="2" t="s">
        <v>2891</v>
      </c>
      <c r="G421" s="2" t="s">
        <v>2</v>
      </c>
      <c r="H421" s="2" t="s">
        <v>2</v>
      </c>
      <c r="I421" s="2" t="s">
        <v>2</v>
      </c>
      <c r="J421" s="2" t="s">
        <v>28</v>
      </c>
      <c r="K421" s="3">
        <v>0</v>
      </c>
      <c r="L421" s="3">
        <v>0</v>
      </c>
      <c r="M421" s="3">
        <v>0</v>
      </c>
      <c r="N421" s="3">
        <v>4</v>
      </c>
      <c r="O421" s="4">
        <v>0</v>
      </c>
      <c r="P421" s="4">
        <v>0</v>
      </c>
      <c r="Q421" s="4">
        <v>0</v>
      </c>
      <c r="R421" s="4">
        <v>16.7</v>
      </c>
      <c r="S421" s="4">
        <v>4957.8</v>
      </c>
      <c r="T421" s="2" t="s">
        <v>2</v>
      </c>
      <c r="U421" s="2" t="s">
        <v>2892</v>
      </c>
      <c r="V421" s="2" t="s">
        <v>2</v>
      </c>
      <c r="W421" s="2" t="s">
        <v>510</v>
      </c>
    </row>
    <row r="422" spans="1:23" ht="24" customHeight="1" x14ac:dyDescent="0.3">
      <c r="A422" s="2" t="s">
        <v>2893</v>
      </c>
      <c r="B422" s="11"/>
      <c r="C422" s="11"/>
      <c r="D422" s="2" t="s">
        <v>2894</v>
      </c>
      <c r="E422" s="2" t="s">
        <v>2895</v>
      </c>
      <c r="F422" s="2" t="s">
        <v>2896</v>
      </c>
      <c r="G422" s="2" t="s">
        <v>2</v>
      </c>
      <c r="H422" s="2" t="s">
        <v>2</v>
      </c>
      <c r="I422" s="2" t="s">
        <v>2</v>
      </c>
      <c r="J422" s="2" t="s">
        <v>28</v>
      </c>
      <c r="K422" s="3">
        <v>0</v>
      </c>
      <c r="L422" s="3">
        <v>0</v>
      </c>
      <c r="M422" s="3">
        <v>0</v>
      </c>
      <c r="N422" s="3">
        <v>2</v>
      </c>
      <c r="O422" s="4">
        <v>0</v>
      </c>
      <c r="P422" s="4">
        <v>0</v>
      </c>
      <c r="Q422" s="4">
        <v>0</v>
      </c>
      <c r="R422" s="4">
        <v>2</v>
      </c>
      <c r="S422" s="4">
        <v>0</v>
      </c>
      <c r="T422" s="2" t="s">
        <v>2</v>
      </c>
      <c r="U422" s="2" t="s">
        <v>562</v>
      </c>
      <c r="V422" s="2" t="s">
        <v>2</v>
      </c>
      <c r="W422" s="2" t="s">
        <v>510</v>
      </c>
    </row>
    <row r="423" spans="1:23" ht="24" customHeight="1" x14ac:dyDescent="0.3">
      <c r="A423" s="2" t="s">
        <v>2897</v>
      </c>
      <c r="B423" s="11"/>
      <c r="C423" s="11"/>
      <c r="D423" s="2" t="s">
        <v>2898</v>
      </c>
      <c r="E423" s="2" t="s">
        <v>2899</v>
      </c>
      <c r="F423" s="2" t="s">
        <v>2900</v>
      </c>
      <c r="G423" s="2" t="s">
        <v>2</v>
      </c>
      <c r="H423" s="2" t="s">
        <v>2</v>
      </c>
      <c r="I423" s="2" t="s">
        <v>2</v>
      </c>
      <c r="J423" s="2" t="s">
        <v>28</v>
      </c>
      <c r="K423" s="3">
        <v>0</v>
      </c>
      <c r="L423" s="3">
        <v>0</v>
      </c>
      <c r="M423" s="3">
        <v>0</v>
      </c>
      <c r="N423" s="3">
        <v>3</v>
      </c>
      <c r="O423" s="4">
        <v>0</v>
      </c>
      <c r="P423" s="4">
        <v>0</v>
      </c>
      <c r="Q423" s="4">
        <v>0</v>
      </c>
      <c r="R423" s="4">
        <v>75.5</v>
      </c>
      <c r="S423" s="4">
        <v>8562.6</v>
      </c>
      <c r="T423" s="2" t="s">
        <v>2901</v>
      </c>
      <c r="U423" s="2" t="s">
        <v>363</v>
      </c>
      <c r="V423" s="2" t="s">
        <v>2</v>
      </c>
      <c r="W423" s="2" t="s">
        <v>510</v>
      </c>
    </row>
    <row r="424" spans="1:23" ht="24" customHeight="1" x14ac:dyDescent="0.3">
      <c r="A424" s="2" t="s">
        <v>2902</v>
      </c>
      <c r="B424" s="11"/>
      <c r="C424" s="11"/>
      <c r="D424" s="2" t="s">
        <v>1075</v>
      </c>
      <c r="E424" s="2" t="s">
        <v>2903</v>
      </c>
      <c r="F424" s="2" t="s">
        <v>2904</v>
      </c>
      <c r="G424" s="2" t="s">
        <v>2</v>
      </c>
      <c r="H424" s="2" t="s">
        <v>2</v>
      </c>
      <c r="I424" s="2" t="s">
        <v>2</v>
      </c>
      <c r="J424" s="2" t="s">
        <v>28</v>
      </c>
      <c r="K424" s="3">
        <v>0</v>
      </c>
      <c r="L424" s="3">
        <v>0</v>
      </c>
      <c r="M424" s="3">
        <v>0</v>
      </c>
      <c r="N424" s="3">
        <v>6</v>
      </c>
      <c r="O424" s="4">
        <v>0</v>
      </c>
      <c r="P424" s="4">
        <v>0</v>
      </c>
      <c r="Q424" s="4">
        <v>0</v>
      </c>
      <c r="R424" s="4">
        <v>117.5</v>
      </c>
      <c r="S424" s="4">
        <v>7243</v>
      </c>
      <c r="T424" s="2" t="s">
        <v>2905</v>
      </c>
      <c r="U424" s="2" t="s">
        <v>684</v>
      </c>
      <c r="V424" s="2" t="s">
        <v>2</v>
      </c>
      <c r="W424" s="2" t="s">
        <v>510</v>
      </c>
    </row>
    <row r="425" spans="1:23" ht="24" customHeight="1" x14ac:dyDescent="0.3">
      <c r="A425" s="2" t="s">
        <v>2906</v>
      </c>
      <c r="B425" s="11"/>
      <c r="C425" s="11"/>
      <c r="D425" s="2" t="s">
        <v>2907</v>
      </c>
      <c r="E425" s="2" t="s">
        <v>2908</v>
      </c>
      <c r="F425" s="2" t="s">
        <v>2909</v>
      </c>
      <c r="G425" s="2" t="s">
        <v>2</v>
      </c>
      <c r="H425" s="2" t="s">
        <v>2</v>
      </c>
      <c r="I425" s="2" t="s">
        <v>2</v>
      </c>
      <c r="J425" s="2" t="s">
        <v>28</v>
      </c>
      <c r="K425" s="3">
        <v>0</v>
      </c>
      <c r="L425" s="3">
        <v>0</v>
      </c>
      <c r="M425" s="3">
        <v>0</v>
      </c>
      <c r="N425" s="3">
        <v>2</v>
      </c>
      <c r="O425" s="4">
        <v>0</v>
      </c>
      <c r="P425" s="4">
        <v>0</v>
      </c>
      <c r="Q425" s="4">
        <v>0</v>
      </c>
      <c r="R425" s="4">
        <v>5.0999999999999996</v>
      </c>
      <c r="S425" s="4">
        <v>0</v>
      </c>
      <c r="T425" s="2" t="s">
        <v>2</v>
      </c>
      <c r="U425" s="2" t="s">
        <v>1025</v>
      </c>
      <c r="V425" s="2" t="s">
        <v>2</v>
      </c>
      <c r="W425" s="2" t="s">
        <v>510</v>
      </c>
    </row>
    <row r="426" spans="1:23" ht="24" customHeight="1" x14ac:dyDescent="0.3">
      <c r="A426" s="2" t="s">
        <v>2910</v>
      </c>
      <c r="B426" s="11"/>
      <c r="C426" s="11"/>
      <c r="D426" s="2" t="s">
        <v>2911</v>
      </c>
      <c r="E426" s="2" t="s">
        <v>2912</v>
      </c>
      <c r="F426" s="2" t="s">
        <v>2913</v>
      </c>
      <c r="G426" s="2" t="s">
        <v>2</v>
      </c>
      <c r="H426" s="2" t="s">
        <v>2</v>
      </c>
      <c r="I426" s="2" t="s">
        <v>2</v>
      </c>
      <c r="J426" s="2" t="s">
        <v>28</v>
      </c>
      <c r="K426" s="3">
        <v>0</v>
      </c>
      <c r="L426" s="3">
        <v>0</v>
      </c>
      <c r="M426" s="3">
        <v>0</v>
      </c>
      <c r="N426" s="3">
        <v>2</v>
      </c>
      <c r="O426" s="4">
        <v>0</v>
      </c>
      <c r="P426" s="4">
        <v>0</v>
      </c>
      <c r="Q426" s="4">
        <v>0</v>
      </c>
      <c r="R426" s="4">
        <v>6.2</v>
      </c>
      <c r="S426" s="4">
        <v>0</v>
      </c>
      <c r="T426" s="2" t="s">
        <v>2914</v>
      </c>
      <c r="U426" s="2" t="s">
        <v>2915</v>
      </c>
      <c r="V426" s="2" t="s">
        <v>2</v>
      </c>
      <c r="W426" s="2" t="s">
        <v>510</v>
      </c>
    </row>
    <row r="427" spans="1:23" ht="24" customHeight="1" x14ac:dyDescent="0.3">
      <c r="A427" s="2" t="s">
        <v>2916</v>
      </c>
      <c r="B427" s="11"/>
      <c r="C427" s="11"/>
      <c r="D427" s="2" t="s">
        <v>2917</v>
      </c>
      <c r="E427" s="2" t="s">
        <v>2918</v>
      </c>
      <c r="F427" s="2" t="s">
        <v>2919</v>
      </c>
      <c r="G427" s="2" t="s">
        <v>2</v>
      </c>
      <c r="H427" s="2" t="s">
        <v>2</v>
      </c>
      <c r="I427" s="2" t="s">
        <v>2</v>
      </c>
      <c r="J427" s="2" t="s">
        <v>28</v>
      </c>
      <c r="K427" s="3">
        <v>0</v>
      </c>
      <c r="L427" s="3">
        <v>0</v>
      </c>
      <c r="M427" s="3">
        <v>0</v>
      </c>
      <c r="N427" s="3">
        <v>5</v>
      </c>
      <c r="O427" s="4">
        <v>0</v>
      </c>
      <c r="P427" s="4">
        <v>0</v>
      </c>
      <c r="Q427" s="4">
        <v>0</v>
      </c>
      <c r="R427" s="4">
        <v>13.7</v>
      </c>
      <c r="S427" s="4">
        <v>18.7</v>
      </c>
      <c r="T427" s="2" t="s">
        <v>2920</v>
      </c>
      <c r="U427" s="2" t="s">
        <v>1025</v>
      </c>
      <c r="V427" s="2" t="s">
        <v>2</v>
      </c>
      <c r="W427" s="2" t="s">
        <v>510</v>
      </c>
    </row>
    <row r="428" spans="1:23" ht="24" customHeight="1" x14ac:dyDescent="0.3">
      <c r="A428" s="2" t="s">
        <v>2921</v>
      </c>
      <c r="B428" s="11"/>
      <c r="C428" s="11"/>
      <c r="D428" s="2" t="s">
        <v>2680</v>
      </c>
      <c r="E428" s="2" t="s">
        <v>589</v>
      </c>
      <c r="F428" s="2" t="s">
        <v>2922</v>
      </c>
      <c r="G428" s="2" t="s">
        <v>2</v>
      </c>
      <c r="H428" s="2" t="s">
        <v>2</v>
      </c>
      <c r="I428" s="2" t="s">
        <v>2</v>
      </c>
      <c r="J428" s="2" t="s">
        <v>28</v>
      </c>
      <c r="K428" s="3">
        <v>0</v>
      </c>
      <c r="L428" s="3">
        <v>0</v>
      </c>
      <c r="M428" s="3">
        <v>0</v>
      </c>
      <c r="N428" s="3">
        <v>3</v>
      </c>
      <c r="O428" s="4">
        <v>0</v>
      </c>
      <c r="P428" s="4">
        <v>0</v>
      </c>
      <c r="Q428" s="4">
        <v>0</v>
      </c>
      <c r="R428" s="4">
        <v>6</v>
      </c>
      <c r="S428" s="4">
        <v>82.8</v>
      </c>
      <c r="T428" s="2" t="s">
        <v>2</v>
      </c>
      <c r="U428" s="2" t="s">
        <v>363</v>
      </c>
      <c r="V428" s="2" t="s">
        <v>2</v>
      </c>
      <c r="W428" s="2" t="s">
        <v>510</v>
      </c>
    </row>
    <row r="429" spans="1:23" ht="24" customHeight="1" x14ac:dyDescent="0.3">
      <c r="A429" s="2" t="s">
        <v>2923</v>
      </c>
      <c r="B429" s="11"/>
      <c r="C429" s="11"/>
      <c r="D429" s="2" t="s">
        <v>2924</v>
      </c>
      <c r="E429" s="2" t="s">
        <v>2925</v>
      </c>
      <c r="F429" s="2" t="s">
        <v>2926</v>
      </c>
      <c r="G429" s="2" t="s">
        <v>2</v>
      </c>
      <c r="H429" s="2" t="s">
        <v>2</v>
      </c>
      <c r="I429" s="2" t="s">
        <v>2</v>
      </c>
      <c r="J429" s="2" t="s">
        <v>28</v>
      </c>
      <c r="K429" s="3">
        <v>0</v>
      </c>
      <c r="L429" s="3">
        <v>0</v>
      </c>
      <c r="M429" s="3">
        <v>0</v>
      </c>
      <c r="N429" s="3">
        <v>2</v>
      </c>
      <c r="O429" s="4">
        <v>0</v>
      </c>
      <c r="P429" s="4">
        <v>0</v>
      </c>
      <c r="Q429" s="4">
        <v>0</v>
      </c>
      <c r="R429" s="4">
        <v>50</v>
      </c>
      <c r="S429" s="4">
        <v>0</v>
      </c>
      <c r="T429" s="2" t="s">
        <v>2927</v>
      </c>
      <c r="U429" s="2" t="s">
        <v>1025</v>
      </c>
      <c r="V429" s="2" t="s">
        <v>2</v>
      </c>
      <c r="W429" s="2" t="s">
        <v>510</v>
      </c>
    </row>
    <row r="430" spans="1:23" ht="24" customHeight="1" x14ac:dyDescent="0.3">
      <c r="A430" s="2" t="s">
        <v>2928</v>
      </c>
      <c r="B430" s="11"/>
      <c r="C430" s="11"/>
      <c r="D430" s="2" t="s">
        <v>2929</v>
      </c>
      <c r="E430" s="2" t="s">
        <v>2930</v>
      </c>
      <c r="F430" s="2" t="s">
        <v>2931</v>
      </c>
      <c r="G430" s="2" t="s">
        <v>2</v>
      </c>
      <c r="H430" s="2" t="s">
        <v>2</v>
      </c>
      <c r="I430" s="2" t="s">
        <v>2</v>
      </c>
      <c r="J430" s="2" t="s">
        <v>28</v>
      </c>
      <c r="K430" s="3">
        <v>0</v>
      </c>
      <c r="L430" s="3">
        <v>0</v>
      </c>
      <c r="M430" s="3">
        <v>0</v>
      </c>
      <c r="N430" s="3">
        <v>2</v>
      </c>
      <c r="O430" s="4">
        <v>0</v>
      </c>
      <c r="P430" s="4">
        <v>0</v>
      </c>
      <c r="Q430" s="4">
        <v>0</v>
      </c>
      <c r="R430" s="4">
        <v>3.4</v>
      </c>
      <c r="S430" s="4">
        <v>0</v>
      </c>
      <c r="T430" s="2" t="s">
        <v>2932</v>
      </c>
      <c r="U430" s="2" t="s">
        <v>2933</v>
      </c>
      <c r="V430" s="2" t="s">
        <v>2</v>
      </c>
      <c r="W430" s="2" t="s">
        <v>510</v>
      </c>
    </row>
    <row r="431" spans="1:23" ht="24" customHeight="1" x14ac:dyDescent="0.3">
      <c r="A431" s="2" t="s">
        <v>2934</v>
      </c>
      <c r="B431" s="11"/>
      <c r="C431" s="11"/>
      <c r="D431" s="2" t="s">
        <v>2935</v>
      </c>
      <c r="E431" s="2" t="s">
        <v>2936</v>
      </c>
      <c r="F431" s="2" t="s">
        <v>2937</v>
      </c>
      <c r="G431" s="2" t="s">
        <v>2</v>
      </c>
      <c r="H431" s="2" t="s">
        <v>2</v>
      </c>
      <c r="I431" s="2" t="s">
        <v>2</v>
      </c>
      <c r="J431" s="2" t="s">
        <v>28</v>
      </c>
      <c r="K431" s="3">
        <v>0</v>
      </c>
      <c r="L431" s="3">
        <v>0</v>
      </c>
      <c r="M431" s="3">
        <v>0</v>
      </c>
      <c r="N431" s="3">
        <v>2</v>
      </c>
      <c r="O431" s="4">
        <v>0</v>
      </c>
      <c r="P431" s="4">
        <v>0</v>
      </c>
      <c r="Q431" s="4">
        <v>0</v>
      </c>
      <c r="R431" s="4">
        <v>49.5</v>
      </c>
      <c r="S431" s="4">
        <v>2849.2</v>
      </c>
      <c r="T431" s="2" t="s">
        <v>2</v>
      </c>
      <c r="U431" s="2" t="s">
        <v>194</v>
      </c>
      <c r="V431" s="2" t="s">
        <v>2</v>
      </c>
      <c r="W431" s="2" t="s">
        <v>510</v>
      </c>
    </row>
    <row r="432" spans="1:23" ht="24" customHeight="1" x14ac:dyDescent="0.3">
      <c r="A432" s="2" t="s">
        <v>2938</v>
      </c>
      <c r="B432" s="11"/>
      <c r="C432" s="11"/>
      <c r="D432" s="2" t="s">
        <v>2939</v>
      </c>
      <c r="E432" s="2" t="s">
        <v>2940</v>
      </c>
      <c r="F432" s="2" t="s">
        <v>2941</v>
      </c>
      <c r="G432" s="2" t="s">
        <v>2</v>
      </c>
      <c r="H432" s="2" t="s">
        <v>2</v>
      </c>
      <c r="I432" s="2" t="s">
        <v>2</v>
      </c>
      <c r="J432" s="2" t="s">
        <v>28</v>
      </c>
      <c r="K432" s="3">
        <v>0</v>
      </c>
      <c r="L432" s="3">
        <v>0</v>
      </c>
      <c r="M432" s="3">
        <v>0</v>
      </c>
      <c r="N432" s="3">
        <v>2</v>
      </c>
      <c r="O432" s="4">
        <v>0</v>
      </c>
      <c r="P432" s="4">
        <v>0</v>
      </c>
      <c r="Q432" s="4">
        <v>0</v>
      </c>
      <c r="R432" s="4">
        <v>3</v>
      </c>
      <c r="S432" s="4">
        <v>0</v>
      </c>
      <c r="T432" s="2" t="s">
        <v>2</v>
      </c>
      <c r="U432" s="2" t="s">
        <v>2942</v>
      </c>
      <c r="V432" s="2" t="s">
        <v>2</v>
      </c>
      <c r="W432" s="2" t="s">
        <v>510</v>
      </c>
    </row>
    <row r="433" spans="1:23" ht="24" customHeight="1" x14ac:dyDescent="0.3">
      <c r="A433" s="2" t="s">
        <v>2943</v>
      </c>
      <c r="B433" s="11"/>
      <c r="C433" s="11"/>
      <c r="D433" s="2" t="s">
        <v>2944</v>
      </c>
      <c r="E433" s="2" t="s">
        <v>2945</v>
      </c>
      <c r="F433" s="2" t="s">
        <v>2946</v>
      </c>
      <c r="G433" s="2" t="s">
        <v>2</v>
      </c>
      <c r="H433" s="2" t="s">
        <v>2</v>
      </c>
      <c r="I433" s="2" t="s">
        <v>2</v>
      </c>
      <c r="J433" s="2" t="s">
        <v>28</v>
      </c>
      <c r="K433" s="3">
        <v>0</v>
      </c>
      <c r="L433" s="3">
        <v>0</v>
      </c>
      <c r="M433" s="3">
        <v>0</v>
      </c>
      <c r="N433" s="3">
        <v>2</v>
      </c>
      <c r="O433" s="4">
        <v>0</v>
      </c>
      <c r="P433" s="4">
        <v>0</v>
      </c>
      <c r="Q433" s="4">
        <v>0</v>
      </c>
      <c r="R433" s="4">
        <v>2.8</v>
      </c>
      <c r="S433" s="4">
        <v>0</v>
      </c>
      <c r="T433" s="2" t="s">
        <v>2</v>
      </c>
      <c r="U433" s="2" t="s">
        <v>2947</v>
      </c>
      <c r="V433" s="2" t="s">
        <v>2</v>
      </c>
      <c r="W433" s="2" t="s">
        <v>510</v>
      </c>
    </row>
    <row r="434" spans="1:23" ht="24" customHeight="1" x14ac:dyDescent="0.3">
      <c r="A434" s="2" t="s">
        <v>2948</v>
      </c>
      <c r="B434" s="11"/>
      <c r="C434" s="11"/>
      <c r="D434" s="2" t="s">
        <v>2949</v>
      </c>
      <c r="E434" s="2" t="s">
        <v>2950</v>
      </c>
      <c r="F434" s="2" t="s">
        <v>2951</v>
      </c>
      <c r="G434" s="2" t="s">
        <v>2</v>
      </c>
      <c r="H434" s="2" t="s">
        <v>2</v>
      </c>
      <c r="I434" s="2" t="s">
        <v>2</v>
      </c>
      <c r="J434" s="2" t="s">
        <v>28</v>
      </c>
      <c r="K434" s="3">
        <v>0</v>
      </c>
      <c r="L434" s="3">
        <v>0</v>
      </c>
      <c r="M434" s="3">
        <v>0</v>
      </c>
      <c r="N434" s="3">
        <v>3</v>
      </c>
      <c r="O434" s="4">
        <v>0</v>
      </c>
      <c r="P434" s="4">
        <v>0</v>
      </c>
      <c r="Q434" s="4">
        <v>0</v>
      </c>
      <c r="R434" s="4">
        <v>4.8</v>
      </c>
      <c r="S434" s="4">
        <v>0</v>
      </c>
      <c r="T434" s="2" t="s">
        <v>2952</v>
      </c>
      <c r="U434" s="2" t="s">
        <v>1069</v>
      </c>
      <c r="V434" s="2" t="s">
        <v>2</v>
      </c>
      <c r="W434" s="2" t="s">
        <v>510</v>
      </c>
    </row>
    <row r="435" spans="1:23" ht="24" customHeight="1" x14ac:dyDescent="0.3">
      <c r="A435" s="2" t="s">
        <v>2953</v>
      </c>
      <c r="B435" s="11"/>
      <c r="C435" s="11"/>
      <c r="D435" s="2" t="s">
        <v>2954</v>
      </c>
      <c r="E435" s="2" t="s">
        <v>2955</v>
      </c>
      <c r="F435" s="2" t="s">
        <v>2956</v>
      </c>
      <c r="G435" s="2" t="s">
        <v>2</v>
      </c>
      <c r="H435" s="2" t="s">
        <v>2</v>
      </c>
      <c r="I435" s="2" t="s">
        <v>121</v>
      </c>
      <c r="J435" s="2" t="s">
        <v>2</v>
      </c>
      <c r="K435" s="3">
        <v>0</v>
      </c>
      <c r="L435" s="3">
        <v>0</v>
      </c>
      <c r="M435" s="3">
        <v>3</v>
      </c>
      <c r="N435" s="3">
        <v>0</v>
      </c>
      <c r="O435" s="4">
        <v>0</v>
      </c>
      <c r="P435" s="4">
        <v>0</v>
      </c>
      <c r="Q435" s="4">
        <v>10.3</v>
      </c>
      <c r="R435" s="4">
        <v>0</v>
      </c>
      <c r="S435" s="4">
        <v>0</v>
      </c>
      <c r="T435" s="2" t="s">
        <v>2957</v>
      </c>
      <c r="U435" s="2" t="s">
        <v>2958</v>
      </c>
      <c r="V435" s="2" t="s">
        <v>2</v>
      </c>
      <c r="W435" s="2" t="s">
        <v>510</v>
      </c>
    </row>
    <row r="436" spans="1:23" ht="24" customHeight="1" x14ac:dyDescent="0.3">
      <c r="A436" s="2" t="s">
        <v>2959</v>
      </c>
      <c r="B436" s="11"/>
      <c r="C436" s="11"/>
      <c r="D436" s="2" t="s">
        <v>2960</v>
      </c>
      <c r="E436" s="2" t="s">
        <v>2961</v>
      </c>
      <c r="F436" s="2" t="s">
        <v>2962</v>
      </c>
      <c r="G436" s="2" t="s">
        <v>2</v>
      </c>
      <c r="H436" s="2" t="s">
        <v>2</v>
      </c>
      <c r="I436" s="2" t="s">
        <v>2</v>
      </c>
      <c r="J436" s="2" t="s">
        <v>28</v>
      </c>
      <c r="K436" s="3">
        <v>0</v>
      </c>
      <c r="L436" s="3">
        <v>0</v>
      </c>
      <c r="M436" s="3">
        <v>0</v>
      </c>
      <c r="N436" s="3">
        <v>2</v>
      </c>
      <c r="O436" s="4">
        <v>0</v>
      </c>
      <c r="P436" s="4">
        <v>0</v>
      </c>
      <c r="Q436" s="4">
        <v>0</v>
      </c>
      <c r="R436" s="4">
        <v>4.8</v>
      </c>
      <c r="S436" s="4">
        <v>0</v>
      </c>
      <c r="T436" s="2" t="s">
        <v>2963</v>
      </c>
      <c r="U436" s="2" t="s">
        <v>2964</v>
      </c>
      <c r="V436" s="2" t="s">
        <v>2</v>
      </c>
      <c r="W436" s="2" t="s">
        <v>2</v>
      </c>
    </row>
    <row r="437" spans="1:23" ht="24" customHeight="1" x14ac:dyDescent="0.3">
      <c r="A437" s="2" t="s">
        <v>2965</v>
      </c>
      <c r="B437" s="11"/>
      <c r="C437" s="11"/>
      <c r="D437" s="2" t="s">
        <v>2966</v>
      </c>
      <c r="E437" s="2" t="s">
        <v>2967</v>
      </c>
      <c r="F437" s="2" t="s">
        <v>2968</v>
      </c>
      <c r="G437" s="2" t="s">
        <v>2</v>
      </c>
      <c r="H437" s="2" t="s">
        <v>2</v>
      </c>
      <c r="I437" s="2" t="s">
        <v>2</v>
      </c>
      <c r="J437" s="2" t="s">
        <v>28</v>
      </c>
      <c r="K437" s="3">
        <v>0</v>
      </c>
      <c r="L437" s="3">
        <v>0</v>
      </c>
      <c r="M437" s="3">
        <v>0</v>
      </c>
      <c r="N437" s="3">
        <v>2</v>
      </c>
      <c r="O437" s="4">
        <v>0</v>
      </c>
      <c r="P437" s="4">
        <v>0</v>
      </c>
      <c r="Q437" s="4">
        <v>0</v>
      </c>
      <c r="R437" s="4">
        <v>4.5</v>
      </c>
      <c r="S437" s="4">
        <v>0</v>
      </c>
      <c r="T437" s="2" t="s">
        <v>2</v>
      </c>
      <c r="U437" s="2" t="s">
        <v>1069</v>
      </c>
      <c r="V437" s="2" t="s">
        <v>2</v>
      </c>
      <c r="W437" s="2" t="s">
        <v>510</v>
      </c>
    </row>
    <row r="438" spans="1:23" ht="24" customHeight="1" x14ac:dyDescent="0.3">
      <c r="A438" s="2" t="s">
        <v>2969</v>
      </c>
      <c r="B438" s="11"/>
      <c r="C438" s="11"/>
      <c r="D438" s="2" t="s">
        <v>2512</v>
      </c>
      <c r="E438" s="2" t="s">
        <v>2513</v>
      </c>
      <c r="F438" s="2" t="s">
        <v>2970</v>
      </c>
      <c r="G438" s="2" t="s">
        <v>2</v>
      </c>
      <c r="H438" s="2" t="s">
        <v>2</v>
      </c>
      <c r="I438" s="2" t="s">
        <v>2</v>
      </c>
      <c r="J438" s="2" t="s">
        <v>28</v>
      </c>
      <c r="K438" s="3">
        <v>0</v>
      </c>
      <c r="L438" s="3">
        <v>0</v>
      </c>
      <c r="M438" s="3">
        <v>0</v>
      </c>
      <c r="N438" s="3">
        <v>4</v>
      </c>
      <c r="O438" s="4">
        <v>0</v>
      </c>
      <c r="P438" s="4">
        <v>0</v>
      </c>
      <c r="Q438" s="4">
        <v>0</v>
      </c>
      <c r="R438" s="4">
        <v>29.5</v>
      </c>
      <c r="S438" s="4">
        <v>22056.2</v>
      </c>
      <c r="T438" s="2" t="s">
        <v>2</v>
      </c>
      <c r="U438" s="2" t="s">
        <v>904</v>
      </c>
      <c r="V438" s="2" t="s">
        <v>2</v>
      </c>
      <c r="W438" s="2" t="s">
        <v>510</v>
      </c>
    </row>
    <row r="439" spans="1:23" ht="24" customHeight="1" x14ac:dyDescent="0.3">
      <c r="A439" s="2" t="s">
        <v>2971</v>
      </c>
      <c r="B439" s="11"/>
      <c r="C439" s="11"/>
      <c r="D439" s="2" t="s">
        <v>2972</v>
      </c>
      <c r="E439" s="2" t="s">
        <v>2973</v>
      </c>
      <c r="F439" s="2" t="s">
        <v>2974</v>
      </c>
      <c r="G439" s="2" t="s">
        <v>2</v>
      </c>
      <c r="H439" s="2" t="s">
        <v>2</v>
      </c>
      <c r="I439" s="2" t="s">
        <v>2</v>
      </c>
      <c r="J439" s="2" t="s">
        <v>28</v>
      </c>
      <c r="K439" s="3">
        <v>0</v>
      </c>
      <c r="L439" s="3">
        <v>0</v>
      </c>
      <c r="M439" s="3">
        <v>0</v>
      </c>
      <c r="N439" s="3">
        <v>2</v>
      </c>
      <c r="O439" s="4">
        <v>0</v>
      </c>
      <c r="P439" s="4">
        <v>0</v>
      </c>
      <c r="Q439" s="4">
        <v>0</v>
      </c>
      <c r="R439" s="4">
        <v>4</v>
      </c>
      <c r="S439" s="4">
        <v>0</v>
      </c>
      <c r="T439" s="2" t="s">
        <v>2</v>
      </c>
      <c r="U439" s="2" t="s">
        <v>2975</v>
      </c>
      <c r="V439" s="2" t="s">
        <v>2</v>
      </c>
      <c r="W439" s="2" t="s">
        <v>510</v>
      </c>
    </row>
    <row r="440" spans="1:23" ht="24" customHeight="1" x14ac:dyDescent="0.3">
      <c r="A440" s="2" t="s">
        <v>2976</v>
      </c>
      <c r="B440" s="11"/>
      <c r="C440" s="11"/>
      <c r="D440" s="2" t="s">
        <v>2977</v>
      </c>
      <c r="E440" s="2" t="s">
        <v>2978</v>
      </c>
      <c r="F440" s="2" t="s">
        <v>2979</v>
      </c>
      <c r="G440" s="2" t="s">
        <v>2</v>
      </c>
      <c r="H440" s="2" t="s">
        <v>2</v>
      </c>
      <c r="I440" s="2" t="s">
        <v>121</v>
      </c>
      <c r="J440" s="2" t="s">
        <v>2</v>
      </c>
      <c r="K440" s="3">
        <v>0</v>
      </c>
      <c r="L440" s="3">
        <v>0</v>
      </c>
      <c r="M440" s="3">
        <v>11</v>
      </c>
      <c r="N440" s="3">
        <v>0</v>
      </c>
      <c r="O440" s="4">
        <v>0</v>
      </c>
      <c r="P440" s="4">
        <v>0</v>
      </c>
      <c r="Q440" s="4">
        <v>72</v>
      </c>
      <c r="R440" s="4">
        <v>0</v>
      </c>
      <c r="S440" s="4">
        <v>4518.5</v>
      </c>
      <c r="T440" s="2" t="s">
        <v>2980</v>
      </c>
      <c r="U440" s="2" t="s">
        <v>2981</v>
      </c>
      <c r="V440" s="2" t="s">
        <v>2</v>
      </c>
      <c r="W440" s="2" t="s">
        <v>2</v>
      </c>
    </row>
    <row r="441" spans="1:23" ht="24" customHeight="1" x14ac:dyDescent="0.3">
      <c r="A441" s="2" t="s">
        <v>2982</v>
      </c>
      <c r="B441" s="11"/>
      <c r="C441" s="11"/>
      <c r="D441" s="2" t="s">
        <v>2983</v>
      </c>
      <c r="E441" s="2" t="s">
        <v>2984</v>
      </c>
      <c r="F441" s="2" t="s">
        <v>2985</v>
      </c>
      <c r="G441" s="2" t="s">
        <v>2</v>
      </c>
      <c r="H441" s="2" t="s">
        <v>2</v>
      </c>
      <c r="I441" s="2" t="s">
        <v>27</v>
      </c>
      <c r="J441" s="2" t="s">
        <v>28</v>
      </c>
      <c r="K441" s="3">
        <v>0</v>
      </c>
      <c r="L441" s="3">
        <v>0</v>
      </c>
      <c r="M441" s="3">
        <v>2</v>
      </c>
      <c r="N441" s="3">
        <v>3</v>
      </c>
      <c r="O441" s="4">
        <v>0</v>
      </c>
      <c r="P441" s="4">
        <v>0</v>
      </c>
      <c r="Q441" s="4">
        <v>90</v>
      </c>
      <c r="R441" s="4">
        <v>38</v>
      </c>
      <c r="S441" s="4">
        <v>0</v>
      </c>
      <c r="T441" s="2" t="s">
        <v>753</v>
      </c>
      <c r="U441" s="2" t="s">
        <v>745</v>
      </c>
      <c r="V441" s="2" t="s">
        <v>2</v>
      </c>
      <c r="W441" s="2" t="s">
        <v>2986</v>
      </c>
    </row>
    <row r="442" spans="1:23" ht="24" customHeight="1" x14ac:dyDescent="0.3">
      <c r="A442" s="2" t="s">
        <v>2987</v>
      </c>
      <c r="B442" s="11"/>
      <c r="C442" s="11"/>
      <c r="D442" s="2" t="s">
        <v>2988</v>
      </c>
      <c r="E442" s="2" t="s">
        <v>2989</v>
      </c>
      <c r="F442" s="2" t="s">
        <v>2990</v>
      </c>
      <c r="G442" s="2" t="s">
        <v>2</v>
      </c>
      <c r="H442" s="2" t="s">
        <v>2</v>
      </c>
      <c r="I442" s="2" t="s">
        <v>2</v>
      </c>
      <c r="J442" s="2" t="s">
        <v>28</v>
      </c>
      <c r="K442" s="3">
        <v>0</v>
      </c>
      <c r="L442" s="3">
        <v>0</v>
      </c>
      <c r="M442" s="3">
        <v>0</v>
      </c>
      <c r="N442" s="3">
        <v>2</v>
      </c>
      <c r="O442" s="4">
        <v>0</v>
      </c>
      <c r="P442" s="4">
        <v>0</v>
      </c>
      <c r="Q442" s="4">
        <v>0</v>
      </c>
      <c r="R442" s="4">
        <v>3.3</v>
      </c>
      <c r="S442" s="4">
        <v>0</v>
      </c>
      <c r="T442" s="2" t="s">
        <v>2</v>
      </c>
      <c r="U442" s="2" t="s">
        <v>1682</v>
      </c>
      <c r="V442" s="2" t="s">
        <v>2</v>
      </c>
      <c r="W442" s="2" t="s">
        <v>2986</v>
      </c>
    </row>
    <row r="443" spans="1:23" ht="24" customHeight="1" x14ac:dyDescent="0.3">
      <c r="A443" s="2" t="s">
        <v>2991</v>
      </c>
      <c r="B443" s="11"/>
      <c r="C443" s="11"/>
      <c r="D443" s="2" t="s">
        <v>2992</v>
      </c>
      <c r="E443" s="2" t="s">
        <v>2993</v>
      </c>
      <c r="F443" s="2" t="s">
        <v>2994</v>
      </c>
      <c r="G443" s="2" t="s">
        <v>2</v>
      </c>
      <c r="H443" s="2" t="s">
        <v>2</v>
      </c>
      <c r="I443" s="2" t="s">
        <v>2</v>
      </c>
      <c r="J443" s="2" t="s">
        <v>28</v>
      </c>
      <c r="K443" s="3">
        <v>0</v>
      </c>
      <c r="L443" s="3">
        <v>0</v>
      </c>
      <c r="M443" s="3">
        <v>0</v>
      </c>
      <c r="N443" s="3">
        <v>2</v>
      </c>
      <c r="O443" s="4">
        <v>0</v>
      </c>
      <c r="P443" s="4">
        <v>0</v>
      </c>
      <c r="Q443" s="4">
        <v>0</v>
      </c>
      <c r="R443" s="4">
        <v>2</v>
      </c>
      <c r="S443" s="4">
        <v>0</v>
      </c>
      <c r="T443" s="2" t="s">
        <v>2</v>
      </c>
      <c r="U443" s="2" t="s">
        <v>2995</v>
      </c>
      <c r="V443" s="2" t="s">
        <v>2</v>
      </c>
      <c r="W443" s="2" t="s">
        <v>2986</v>
      </c>
    </row>
    <row r="444" spans="1:23" ht="24" customHeight="1" x14ac:dyDescent="0.3">
      <c r="A444" s="2" t="s">
        <v>2996</v>
      </c>
      <c r="B444" s="11"/>
      <c r="C444" s="11"/>
      <c r="D444" s="2" t="s">
        <v>2997</v>
      </c>
      <c r="E444" s="2" t="s">
        <v>2998</v>
      </c>
      <c r="F444" s="2" t="s">
        <v>2999</v>
      </c>
      <c r="G444" s="2" t="s">
        <v>2</v>
      </c>
      <c r="H444" s="2" t="s">
        <v>2</v>
      </c>
      <c r="I444" s="2" t="s">
        <v>27</v>
      </c>
      <c r="J444" s="2" t="s">
        <v>2</v>
      </c>
      <c r="K444" s="3">
        <v>0</v>
      </c>
      <c r="L444" s="3">
        <v>0</v>
      </c>
      <c r="M444" s="3">
        <v>3</v>
      </c>
      <c r="N444" s="3">
        <v>0</v>
      </c>
      <c r="O444" s="4">
        <v>0</v>
      </c>
      <c r="P444" s="4">
        <v>0</v>
      </c>
      <c r="Q444" s="4">
        <v>27.7</v>
      </c>
      <c r="R444" s="4">
        <v>0</v>
      </c>
      <c r="S444" s="4">
        <v>0</v>
      </c>
      <c r="T444" s="2" t="s">
        <v>3000</v>
      </c>
      <c r="U444" s="2" t="s">
        <v>289</v>
      </c>
      <c r="V444" s="2" t="s">
        <v>2</v>
      </c>
      <c r="W444" s="2" t="s">
        <v>2986</v>
      </c>
    </row>
    <row r="445" spans="1:23" ht="24" customHeight="1" x14ac:dyDescent="0.3">
      <c r="A445" s="2" t="s">
        <v>3001</v>
      </c>
      <c r="B445" s="11"/>
      <c r="C445" s="11"/>
      <c r="D445" s="2" t="s">
        <v>3002</v>
      </c>
      <c r="E445" s="2" t="s">
        <v>3003</v>
      </c>
      <c r="F445" s="2" t="s">
        <v>3004</v>
      </c>
      <c r="G445" s="2" t="s">
        <v>2</v>
      </c>
      <c r="H445" s="2" t="s">
        <v>2</v>
      </c>
      <c r="I445" s="2" t="s">
        <v>2</v>
      </c>
      <c r="J445" s="2" t="s">
        <v>28</v>
      </c>
      <c r="K445" s="3">
        <v>0</v>
      </c>
      <c r="L445" s="3">
        <v>0</v>
      </c>
      <c r="M445" s="3">
        <v>0</v>
      </c>
      <c r="N445" s="3">
        <v>10</v>
      </c>
      <c r="O445" s="4">
        <v>0</v>
      </c>
      <c r="P445" s="4">
        <v>0</v>
      </c>
      <c r="Q445" s="4">
        <v>0</v>
      </c>
      <c r="R445" s="4">
        <v>113.9</v>
      </c>
      <c r="S445" s="4">
        <v>0</v>
      </c>
      <c r="T445" s="2" t="s">
        <v>3005</v>
      </c>
      <c r="U445" s="2" t="s">
        <v>3006</v>
      </c>
      <c r="V445" s="2" t="s">
        <v>2</v>
      </c>
      <c r="W445" s="2" t="s">
        <v>2986</v>
      </c>
    </row>
    <row r="446" spans="1:23" ht="24" customHeight="1" x14ac:dyDescent="0.3">
      <c r="A446" s="2" t="s">
        <v>3007</v>
      </c>
      <c r="B446" s="11"/>
      <c r="C446" s="11"/>
      <c r="D446" s="2" t="s">
        <v>3008</v>
      </c>
      <c r="E446" s="2" t="s">
        <v>3009</v>
      </c>
      <c r="F446" s="2" t="s">
        <v>3010</v>
      </c>
      <c r="G446" s="2" t="s">
        <v>2</v>
      </c>
      <c r="H446" s="2" t="s">
        <v>2</v>
      </c>
      <c r="I446" s="2" t="s">
        <v>2</v>
      </c>
      <c r="J446" s="2" t="s">
        <v>28</v>
      </c>
      <c r="K446" s="3">
        <v>0</v>
      </c>
      <c r="L446" s="3">
        <v>0</v>
      </c>
      <c r="M446" s="3">
        <v>0</v>
      </c>
      <c r="N446" s="3">
        <v>3</v>
      </c>
      <c r="O446" s="4">
        <v>0</v>
      </c>
      <c r="P446" s="4">
        <v>0</v>
      </c>
      <c r="Q446" s="4">
        <v>0</v>
      </c>
      <c r="R446" s="4">
        <v>4.3</v>
      </c>
      <c r="S446" s="4">
        <v>0</v>
      </c>
      <c r="T446" s="2" t="s">
        <v>3011</v>
      </c>
      <c r="U446" s="2" t="s">
        <v>3012</v>
      </c>
      <c r="V446" s="2" t="s">
        <v>2</v>
      </c>
      <c r="W446" s="2" t="s">
        <v>2</v>
      </c>
    </row>
    <row r="447" spans="1:23" ht="24" customHeight="1" x14ac:dyDescent="0.3">
      <c r="A447" s="2" t="s">
        <v>3013</v>
      </c>
      <c r="B447" s="11"/>
      <c r="C447" s="11"/>
      <c r="D447" s="2" t="s">
        <v>3014</v>
      </c>
      <c r="E447" s="2" t="s">
        <v>3015</v>
      </c>
      <c r="F447" s="2" t="s">
        <v>3016</v>
      </c>
      <c r="G447" s="2" t="s">
        <v>2</v>
      </c>
      <c r="H447" s="2" t="s">
        <v>2</v>
      </c>
      <c r="I447" s="2" t="s">
        <v>2</v>
      </c>
      <c r="J447" s="2" t="s">
        <v>28</v>
      </c>
      <c r="K447" s="3">
        <v>0</v>
      </c>
      <c r="L447" s="3">
        <v>0</v>
      </c>
      <c r="M447" s="3">
        <v>0</v>
      </c>
      <c r="N447" s="3">
        <v>2</v>
      </c>
      <c r="O447" s="4">
        <v>0</v>
      </c>
      <c r="P447" s="4">
        <v>0</v>
      </c>
      <c r="Q447" s="4">
        <v>0</v>
      </c>
      <c r="R447" s="4">
        <v>2</v>
      </c>
      <c r="S447" s="4">
        <v>17.8</v>
      </c>
      <c r="T447" s="2" t="s">
        <v>3017</v>
      </c>
      <c r="U447" s="2" t="s">
        <v>3018</v>
      </c>
      <c r="V447" s="2" t="s">
        <v>2</v>
      </c>
      <c r="W447" s="2" t="s">
        <v>2</v>
      </c>
    </row>
    <row r="448" spans="1:23" ht="24" customHeight="1" x14ac:dyDescent="0.3">
      <c r="A448" s="2" t="s">
        <v>3019</v>
      </c>
      <c r="B448" s="11"/>
      <c r="C448" s="11"/>
      <c r="D448" s="2" t="s">
        <v>3020</v>
      </c>
      <c r="E448" s="2" t="s">
        <v>3021</v>
      </c>
      <c r="F448" s="2" t="s">
        <v>3022</v>
      </c>
      <c r="G448" s="2" t="s">
        <v>2</v>
      </c>
      <c r="H448" s="2" t="s">
        <v>2</v>
      </c>
      <c r="I448" s="2" t="s">
        <v>2</v>
      </c>
      <c r="J448" s="2" t="s">
        <v>28</v>
      </c>
      <c r="K448" s="3">
        <v>0</v>
      </c>
      <c r="L448" s="3">
        <v>0</v>
      </c>
      <c r="M448" s="3">
        <v>0</v>
      </c>
      <c r="N448" s="3">
        <v>2</v>
      </c>
      <c r="O448" s="4">
        <v>0</v>
      </c>
      <c r="P448" s="4">
        <v>0</v>
      </c>
      <c r="Q448" s="4">
        <v>0</v>
      </c>
      <c r="R448" s="4">
        <v>3</v>
      </c>
      <c r="S448" s="4">
        <v>142.80000000000001</v>
      </c>
      <c r="T448" s="2" t="s">
        <v>3023</v>
      </c>
      <c r="U448" s="2" t="s">
        <v>3024</v>
      </c>
      <c r="V448" s="2" t="s">
        <v>2</v>
      </c>
      <c r="W448" s="2" t="s">
        <v>2</v>
      </c>
    </row>
    <row r="449" spans="1:23" ht="24" customHeight="1" x14ac:dyDescent="0.3">
      <c r="A449" s="2" t="s">
        <v>3025</v>
      </c>
      <c r="B449" s="11"/>
      <c r="C449" s="11"/>
      <c r="D449" s="2" t="s">
        <v>3026</v>
      </c>
      <c r="E449" s="2" t="s">
        <v>3027</v>
      </c>
      <c r="F449" s="2" t="s">
        <v>3028</v>
      </c>
      <c r="G449" s="2" t="s">
        <v>2</v>
      </c>
      <c r="H449" s="2" t="s">
        <v>2</v>
      </c>
      <c r="I449" s="2" t="s">
        <v>2</v>
      </c>
      <c r="J449" s="2" t="s">
        <v>28</v>
      </c>
      <c r="K449" s="3">
        <v>0</v>
      </c>
      <c r="L449" s="3">
        <v>0</v>
      </c>
      <c r="M449" s="3">
        <v>0</v>
      </c>
      <c r="N449" s="3">
        <v>2</v>
      </c>
      <c r="O449" s="4">
        <v>0</v>
      </c>
      <c r="P449" s="4">
        <v>0</v>
      </c>
      <c r="Q449" s="4">
        <v>0</v>
      </c>
      <c r="R449" s="4">
        <v>10</v>
      </c>
      <c r="S449" s="4">
        <v>0</v>
      </c>
      <c r="T449" s="2" t="s">
        <v>2</v>
      </c>
      <c r="U449" s="2" t="s">
        <v>3029</v>
      </c>
      <c r="V449" s="2" t="s">
        <v>2</v>
      </c>
      <c r="W449" s="2" t="s">
        <v>2</v>
      </c>
    </row>
    <row r="450" spans="1:23" ht="24" customHeight="1" x14ac:dyDescent="0.3">
      <c r="A450" s="2" t="s">
        <v>3030</v>
      </c>
      <c r="B450" s="11"/>
      <c r="C450" s="11"/>
      <c r="D450" s="2" t="s">
        <v>3031</v>
      </c>
      <c r="E450" s="2" t="s">
        <v>3032</v>
      </c>
      <c r="F450" s="2" t="s">
        <v>3033</v>
      </c>
      <c r="G450" s="2" t="s">
        <v>2</v>
      </c>
      <c r="H450" s="2" t="s">
        <v>2</v>
      </c>
      <c r="I450" s="2" t="s">
        <v>2</v>
      </c>
      <c r="J450" s="2" t="s">
        <v>28</v>
      </c>
      <c r="K450" s="3">
        <v>0</v>
      </c>
      <c r="L450" s="3">
        <v>0</v>
      </c>
      <c r="M450" s="3">
        <v>0</v>
      </c>
      <c r="N450" s="3">
        <v>7</v>
      </c>
      <c r="O450" s="4">
        <v>0</v>
      </c>
      <c r="P450" s="4">
        <v>0</v>
      </c>
      <c r="Q450" s="4">
        <v>0</v>
      </c>
      <c r="R450" s="4">
        <v>178</v>
      </c>
      <c r="S450" s="4">
        <v>36999.599999999999</v>
      </c>
      <c r="T450" s="2" t="s">
        <v>3034</v>
      </c>
      <c r="U450" s="2" t="s">
        <v>3035</v>
      </c>
      <c r="V450" s="2" t="s">
        <v>2</v>
      </c>
      <c r="W450" s="2" t="s">
        <v>2</v>
      </c>
    </row>
    <row r="451" spans="1:23" ht="24" customHeight="1" x14ac:dyDescent="0.3">
      <c r="A451" s="2" t="s">
        <v>3036</v>
      </c>
      <c r="B451" s="11"/>
      <c r="C451" s="11"/>
      <c r="D451" s="2" t="s">
        <v>3037</v>
      </c>
      <c r="E451" s="2" t="s">
        <v>3038</v>
      </c>
      <c r="F451" s="2" t="s">
        <v>3039</v>
      </c>
      <c r="G451" s="2" t="s">
        <v>2</v>
      </c>
      <c r="H451" s="2" t="s">
        <v>2</v>
      </c>
      <c r="I451" s="2" t="s">
        <v>121</v>
      </c>
      <c r="J451" s="2" t="s">
        <v>2</v>
      </c>
      <c r="K451" s="3">
        <v>0</v>
      </c>
      <c r="L451" s="3">
        <v>0</v>
      </c>
      <c r="M451" s="3">
        <v>4</v>
      </c>
      <c r="N451" s="3">
        <v>0</v>
      </c>
      <c r="O451" s="4">
        <v>0</v>
      </c>
      <c r="P451" s="4">
        <v>0</v>
      </c>
      <c r="Q451" s="4">
        <v>7.1</v>
      </c>
      <c r="R451" s="4">
        <v>0</v>
      </c>
      <c r="S451" s="4">
        <v>212.8</v>
      </c>
      <c r="T451" s="2" t="s">
        <v>2</v>
      </c>
      <c r="U451" s="2" t="s">
        <v>2698</v>
      </c>
      <c r="V451" s="2" t="s">
        <v>3040</v>
      </c>
      <c r="W451" s="2" t="s">
        <v>2</v>
      </c>
    </row>
    <row r="452" spans="1:23" ht="24" customHeight="1" x14ac:dyDescent="0.3">
      <c r="A452" s="2" t="s">
        <v>3036</v>
      </c>
      <c r="B452" s="11"/>
      <c r="C452" s="11"/>
      <c r="D452" s="2" t="s">
        <v>3037</v>
      </c>
      <c r="E452" s="2" t="s">
        <v>3038</v>
      </c>
      <c r="F452" s="2" t="s">
        <v>3039</v>
      </c>
      <c r="G452" s="2" t="s">
        <v>2</v>
      </c>
      <c r="H452" s="2" t="s">
        <v>2</v>
      </c>
      <c r="I452" s="2" t="s">
        <v>2</v>
      </c>
      <c r="J452" s="2" t="s">
        <v>28</v>
      </c>
      <c r="K452" s="3">
        <v>0</v>
      </c>
      <c r="L452" s="3">
        <v>0</v>
      </c>
      <c r="M452" s="3">
        <v>0</v>
      </c>
      <c r="N452" s="3">
        <v>3</v>
      </c>
      <c r="O452" s="4">
        <v>0</v>
      </c>
      <c r="P452" s="4">
        <v>0</v>
      </c>
      <c r="Q452" s="4">
        <v>0</v>
      </c>
      <c r="R452" s="4">
        <v>5.4</v>
      </c>
      <c r="S452" s="4">
        <v>312.89999999999998</v>
      </c>
      <c r="T452" s="2" t="s">
        <v>2</v>
      </c>
      <c r="U452" s="2" t="s">
        <v>441</v>
      </c>
      <c r="V452" s="2" t="s">
        <v>2</v>
      </c>
      <c r="W452" s="2" t="s">
        <v>2</v>
      </c>
    </row>
    <row r="453" spans="1:23" ht="24" customHeight="1" x14ac:dyDescent="0.3">
      <c r="A453" s="2" t="s">
        <v>3041</v>
      </c>
      <c r="B453" s="11"/>
      <c r="C453" s="11"/>
      <c r="D453" s="2" t="s">
        <v>3042</v>
      </c>
      <c r="E453" s="2" t="s">
        <v>3043</v>
      </c>
      <c r="F453" s="2" t="s">
        <v>3044</v>
      </c>
      <c r="G453" s="2" t="s">
        <v>2</v>
      </c>
      <c r="H453" s="2" t="s">
        <v>2</v>
      </c>
      <c r="I453" s="2" t="s">
        <v>2</v>
      </c>
      <c r="J453" s="2" t="s">
        <v>28</v>
      </c>
      <c r="K453" s="3">
        <v>0</v>
      </c>
      <c r="L453" s="3">
        <v>0</v>
      </c>
      <c r="M453" s="3">
        <v>0</v>
      </c>
      <c r="N453" s="3">
        <v>2</v>
      </c>
      <c r="O453" s="4">
        <v>0</v>
      </c>
      <c r="P453" s="4">
        <v>0</v>
      </c>
      <c r="Q453" s="4">
        <v>0</v>
      </c>
      <c r="R453" s="4">
        <v>2.5</v>
      </c>
      <c r="S453" s="4">
        <v>107</v>
      </c>
      <c r="T453" s="2" t="s">
        <v>2</v>
      </c>
      <c r="U453" s="2" t="s">
        <v>985</v>
      </c>
      <c r="V453" s="2" t="s">
        <v>2</v>
      </c>
      <c r="W453" s="2" t="s">
        <v>2</v>
      </c>
    </row>
    <row r="454" spans="1:23" ht="24" customHeight="1" x14ac:dyDescent="0.3">
      <c r="A454" s="2" t="s">
        <v>3045</v>
      </c>
      <c r="B454" s="11"/>
      <c r="C454" s="11"/>
      <c r="D454" s="2" t="s">
        <v>3046</v>
      </c>
      <c r="E454" s="2" t="s">
        <v>3047</v>
      </c>
      <c r="F454" s="2" t="s">
        <v>3048</v>
      </c>
      <c r="G454" s="2" t="s">
        <v>2</v>
      </c>
      <c r="H454" s="2" t="s">
        <v>2</v>
      </c>
      <c r="I454" s="2" t="s">
        <v>2</v>
      </c>
      <c r="J454" s="2" t="s">
        <v>28</v>
      </c>
      <c r="K454" s="3">
        <v>0</v>
      </c>
      <c r="L454" s="3">
        <v>0</v>
      </c>
      <c r="M454" s="3">
        <v>0</v>
      </c>
      <c r="N454" s="3">
        <v>2</v>
      </c>
      <c r="O454" s="4">
        <v>0</v>
      </c>
      <c r="P454" s="4">
        <v>0</v>
      </c>
      <c r="Q454" s="4">
        <v>0</v>
      </c>
      <c r="R454" s="4">
        <v>2.9</v>
      </c>
      <c r="S454" s="4">
        <v>0</v>
      </c>
      <c r="T454" s="2" t="s">
        <v>2</v>
      </c>
      <c r="U454" s="2" t="s">
        <v>779</v>
      </c>
      <c r="V454" s="2" t="s">
        <v>2</v>
      </c>
      <c r="W454" s="2" t="s">
        <v>2</v>
      </c>
    </row>
    <row r="455" spans="1:23" ht="24" customHeight="1" x14ac:dyDescent="0.3">
      <c r="A455" s="2" t="s">
        <v>3049</v>
      </c>
      <c r="B455" s="11"/>
      <c r="C455" s="11"/>
      <c r="D455" s="2" t="s">
        <v>3050</v>
      </c>
      <c r="E455" s="2" t="s">
        <v>3051</v>
      </c>
      <c r="F455" s="2" t="s">
        <v>3052</v>
      </c>
      <c r="G455" s="2" t="s">
        <v>2</v>
      </c>
      <c r="H455" s="2" t="s">
        <v>2</v>
      </c>
      <c r="I455" s="2" t="s">
        <v>2</v>
      </c>
      <c r="J455" s="2" t="s">
        <v>28</v>
      </c>
      <c r="K455" s="3">
        <v>0</v>
      </c>
      <c r="L455" s="3">
        <v>0</v>
      </c>
      <c r="M455" s="3">
        <v>0</v>
      </c>
      <c r="N455" s="3">
        <v>2</v>
      </c>
      <c r="O455" s="4">
        <v>0</v>
      </c>
      <c r="P455" s="4">
        <v>0</v>
      </c>
      <c r="Q455" s="4">
        <v>0</v>
      </c>
      <c r="R455" s="4">
        <v>6.5</v>
      </c>
      <c r="S455" s="4">
        <v>0</v>
      </c>
      <c r="T455" s="2" t="s">
        <v>2</v>
      </c>
      <c r="U455" s="2" t="s">
        <v>3053</v>
      </c>
      <c r="V455" s="2" t="s">
        <v>2</v>
      </c>
      <c r="W455" s="2" t="s">
        <v>2</v>
      </c>
    </row>
    <row r="456" spans="1:23" ht="24" customHeight="1" x14ac:dyDescent="0.3">
      <c r="A456" s="2" t="s">
        <v>3054</v>
      </c>
      <c r="B456" s="11"/>
      <c r="C456" s="11"/>
      <c r="D456" s="2" t="s">
        <v>3055</v>
      </c>
      <c r="E456" s="2" t="s">
        <v>3056</v>
      </c>
      <c r="F456" s="2" t="s">
        <v>3057</v>
      </c>
      <c r="G456" s="2" t="s">
        <v>2</v>
      </c>
      <c r="H456" s="2" t="s">
        <v>2</v>
      </c>
      <c r="I456" s="2" t="s">
        <v>2</v>
      </c>
      <c r="J456" s="2" t="s">
        <v>28</v>
      </c>
      <c r="K456" s="3">
        <v>0</v>
      </c>
      <c r="L456" s="3">
        <v>0</v>
      </c>
      <c r="M456" s="3">
        <v>0</v>
      </c>
      <c r="N456" s="3">
        <v>2</v>
      </c>
      <c r="O456" s="4">
        <v>0</v>
      </c>
      <c r="P456" s="4">
        <v>0</v>
      </c>
      <c r="Q456" s="4">
        <v>0</v>
      </c>
      <c r="R456" s="4">
        <v>6</v>
      </c>
      <c r="S456" s="4">
        <v>11.4</v>
      </c>
      <c r="T456" s="2" t="s">
        <v>2</v>
      </c>
      <c r="U456" s="2" t="s">
        <v>3058</v>
      </c>
      <c r="V456" s="2" t="s">
        <v>2</v>
      </c>
      <c r="W456" s="2" t="s">
        <v>2</v>
      </c>
    </row>
    <row r="457" spans="1:23" ht="24" customHeight="1" x14ac:dyDescent="0.3">
      <c r="A457" s="2" t="s">
        <v>3059</v>
      </c>
      <c r="B457" s="11"/>
      <c r="C457" s="11"/>
      <c r="D457" s="2" t="s">
        <v>3060</v>
      </c>
      <c r="E457" s="2" t="s">
        <v>3061</v>
      </c>
      <c r="F457" s="2" t="s">
        <v>3062</v>
      </c>
      <c r="G457" s="2" t="s">
        <v>2</v>
      </c>
      <c r="H457" s="2" t="s">
        <v>2</v>
      </c>
      <c r="I457" s="2" t="s">
        <v>2</v>
      </c>
      <c r="J457" s="2" t="s">
        <v>28</v>
      </c>
      <c r="K457" s="3">
        <v>0</v>
      </c>
      <c r="L457" s="3">
        <v>0</v>
      </c>
      <c r="M457" s="3">
        <v>0</v>
      </c>
      <c r="N457" s="3">
        <v>13</v>
      </c>
      <c r="O457" s="4">
        <v>0</v>
      </c>
      <c r="P457" s="4">
        <v>0</v>
      </c>
      <c r="Q457" s="4">
        <v>0</v>
      </c>
      <c r="R457" s="4">
        <v>159.4</v>
      </c>
      <c r="S457" s="4">
        <v>0</v>
      </c>
      <c r="T457" s="2" t="s">
        <v>3063</v>
      </c>
      <c r="U457" s="2" t="s">
        <v>3064</v>
      </c>
      <c r="V457" s="2" t="s">
        <v>2</v>
      </c>
      <c r="W457" s="2" t="s">
        <v>2</v>
      </c>
    </row>
    <row r="458" spans="1:23" ht="24" customHeight="1" x14ac:dyDescent="0.3">
      <c r="A458" s="2" t="s">
        <v>3065</v>
      </c>
      <c r="B458" s="11"/>
      <c r="C458" s="11"/>
      <c r="D458" s="2" t="s">
        <v>3066</v>
      </c>
      <c r="E458" s="2" t="s">
        <v>3061</v>
      </c>
      <c r="F458" s="2" t="s">
        <v>3062</v>
      </c>
      <c r="G458" s="2" t="s">
        <v>2</v>
      </c>
      <c r="H458" s="2" t="s">
        <v>2</v>
      </c>
      <c r="I458" s="2" t="s">
        <v>121</v>
      </c>
      <c r="J458" s="2" t="s">
        <v>2</v>
      </c>
      <c r="K458" s="3">
        <v>0</v>
      </c>
      <c r="L458" s="3">
        <v>0</v>
      </c>
      <c r="M458" s="3">
        <v>6</v>
      </c>
      <c r="N458" s="3">
        <v>0</v>
      </c>
      <c r="O458" s="4">
        <v>0</v>
      </c>
      <c r="P458" s="4">
        <v>0</v>
      </c>
      <c r="Q458" s="4">
        <v>51.3</v>
      </c>
      <c r="R458" s="4">
        <v>0</v>
      </c>
      <c r="S458" s="4">
        <v>9404.5</v>
      </c>
      <c r="T458" s="2" t="s">
        <v>3067</v>
      </c>
      <c r="U458" s="2" t="s">
        <v>1463</v>
      </c>
      <c r="V458" s="2" t="s">
        <v>2</v>
      </c>
      <c r="W458" s="2" t="s">
        <v>2</v>
      </c>
    </row>
    <row r="459" spans="1:23" ht="24" customHeight="1" x14ac:dyDescent="0.3">
      <c r="A459" s="2" t="s">
        <v>3068</v>
      </c>
      <c r="B459" s="11"/>
      <c r="C459" s="11"/>
      <c r="D459" s="2" t="s">
        <v>3069</v>
      </c>
      <c r="E459" s="2" t="s">
        <v>3070</v>
      </c>
      <c r="F459" s="2" t="s">
        <v>3071</v>
      </c>
      <c r="G459" s="2" t="s">
        <v>2</v>
      </c>
      <c r="H459" s="2" t="s">
        <v>2</v>
      </c>
      <c r="I459" s="2" t="s">
        <v>2</v>
      </c>
      <c r="J459" s="2" t="s">
        <v>28</v>
      </c>
      <c r="K459" s="3">
        <v>0</v>
      </c>
      <c r="L459" s="3">
        <v>0</v>
      </c>
      <c r="M459" s="3">
        <v>0</v>
      </c>
      <c r="N459" s="3">
        <v>2</v>
      </c>
      <c r="O459" s="4">
        <v>0</v>
      </c>
      <c r="P459" s="4">
        <v>0</v>
      </c>
      <c r="Q459" s="4">
        <v>0</v>
      </c>
      <c r="R459" s="4">
        <v>3.2</v>
      </c>
      <c r="S459" s="4">
        <v>0</v>
      </c>
      <c r="T459" s="2" t="s">
        <v>2</v>
      </c>
      <c r="U459" s="2" t="s">
        <v>3072</v>
      </c>
      <c r="V459" s="2" t="s">
        <v>2</v>
      </c>
      <c r="W459" s="2" t="s">
        <v>2</v>
      </c>
    </row>
    <row r="460" spans="1:23" ht="24" customHeight="1" x14ac:dyDescent="0.3">
      <c r="A460" s="2" t="s">
        <v>3073</v>
      </c>
      <c r="B460" s="11"/>
      <c r="C460" s="11"/>
      <c r="D460" s="2" t="s">
        <v>3074</v>
      </c>
      <c r="E460" s="2" t="s">
        <v>3075</v>
      </c>
      <c r="F460" s="2" t="s">
        <v>3076</v>
      </c>
      <c r="G460" s="2" t="s">
        <v>2</v>
      </c>
      <c r="H460" s="2" t="s">
        <v>2</v>
      </c>
      <c r="I460" s="2" t="s">
        <v>2</v>
      </c>
      <c r="J460" s="2" t="s">
        <v>28</v>
      </c>
      <c r="K460" s="3">
        <v>0</v>
      </c>
      <c r="L460" s="3">
        <v>0</v>
      </c>
      <c r="M460" s="3">
        <v>0</v>
      </c>
      <c r="N460" s="3">
        <v>2</v>
      </c>
      <c r="O460" s="4">
        <v>0</v>
      </c>
      <c r="P460" s="4">
        <v>0</v>
      </c>
      <c r="Q460" s="4">
        <v>0</v>
      </c>
      <c r="R460" s="4">
        <v>4.5999999999999996</v>
      </c>
      <c r="S460" s="4">
        <v>0</v>
      </c>
      <c r="T460" s="2" t="s">
        <v>2</v>
      </c>
      <c r="U460" s="2" t="s">
        <v>3077</v>
      </c>
      <c r="V460" s="2" t="s">
        <v>2</v>
      </c>
      <c r="W460" s="2" t="s">
        <v>2</v>
      </c>
    </row>
    <row r="461" spans="1:23" ht="24" customHeight="1" x14ac:dyDescent="0.3">
      <c r="A461" s="2" t="s">
        <v>3078</v>
      </c>
      <c r="B461" s="11"/>
      <c r="C461" s="11"/>
      <c r="D461" s="2" t="s">
        <v>3079</v>
      </c>
      <c r="E461" s="2" t="s">
        <v>3080</v>
      </c>
      <c r="F461" s="2" t="s">
        <v>3081</v>
      </c>
      <c r="G461" s="2" t="s">
        <v>2</v>
      </c>
      <c r="H461" s="2" t="s">
        <v>2</v>
      </c>
      <c r="I461" s="2" t="s">
        <v>2</v>
      </c>
      <c r="J461" s="2" t="s">
        <v>28</v>
      </c>
      <c r="K461" s="3">
        <v>0</v>
      </c>
      <c r="L461" s="3">
        <v>0</v>
      </c>
      <c r="M461" s="3">
        <v>0</v>
      </c>
      <c r="N461" s="3">
        <v>2</v>
      </c>
      <c r="O461" s="4">
        <v>0</v>
      </c>
      <c r="P461" s="4">
        <v>0</v>
      </c>
      <c r="Q461" s="4">
        <v>0</v>
      </c>
      <c r="R461" s="4">
        <v>2.8</v>
      </c>
      <c r="S461" s="4">
        <v>541.5</v>
      </c>
      <c r="T461" s="2" t="s">
        <v>2</v>
      </c>
      <c r="U461" s="2" t="s">
        <v>994</v>
      </c>
      <c r="V461" s="2" t="s">
        <v>2</v>
      </c>
      <c r="W461" s="2" t="s">
        <v>2</v>
      </c>
    </row>
    <row r="462" spans="1:23" ht="24" customHeight="1" x14ac:dyDescent="0.3">
      <c r="A462" s="2" t="s">
        <v>3082</v>
      </c>
      <c r="B462" s="11"/>
      <c r="C462" s="11"/>
      <c r="D462" s="2" t="s">
        <v>3083</v>
      </c>
      <c r="E462" s="2" t="s">
        <v>3084</v>
      </c>
      <c r="F462" s="2" t="s">
        <v>3085</v>
      </c>
      <c r="G462" s="2" t="s">
        <v>2</v>
      </c>
      <c r="H462" s="2" t="s">
        <v>2</v>
      </c>
      <c r="I462" s="2" t="s">
        <v>2</v>
      </c>
      <c r="J462" s="2" t="s">
        <v>28</v>
      </c>
      <c r="K462" s="3">
        <v>0</v>
      </c>
      <c r="L462" s="3">
        <v>0</v>
      </c>
      <c r="M462" s="3">
        <v>0</v>
      </c>
      <c r="N462" s="3">
        <v>15</v>
      </c>
      <c r="O462" s="4">
        <v>0</v>
      </c>
      <c r="P462" s="4">
        <v>0</v>
      </c>
      <c r="Q462" s="4">
        <v>0</v>
      </c>
      <c r="R462" s="4">
        <v>312.2</v>
      </c>
      <c r="S462" s="4">
        <v>138933.79999999999</v>
      </c>
      <c r="T462" s="2" t="s">
        <v>3086</v>
      </c>
      <c r="U462" s="2" t="s">
        <v>367</v>
      </c>
      <c r="V462" s="2" t="s">
        <v>2</v>
      </c>
      <c r="W462" s="2" t="s">
        <v>2</v>
      </c>
    </row>
    <row r="463" spans="1:23" ht="24" customHeight="1" x14ac:dyDescent="0.3">
      <c r="A463" s="2" t="s">
        <v>3087</v>
      </c>
      <c r="B463" s="11"/>
      <c r="C463" s="11"/>
      <c r="D463" s="2" t="s">
        <v>3088</v>
      </c>
      <c r="E463" s="2" t="s">
        <v>3089</v>
      </c>
      <c r="F463" s="2" t="s">
        <v>3090</v>
      </c>
      <c r="G463" s="2" t="s">
        <v>2</v>
      </c>
      <c r="H463" s="2" t="s">
        <v>2</v>
      </c>
      <c r="I463" s="2" t="s">
        <v>2</v>
      </c>
      <c r="J463" s="2" t="s">
        <v>28</v>
      </c>
      <c r="K463" s="3">
        <v>0</v>
      </c>
      <c r="L463" s="3">
        <v>0</v>
      </c>
      <c r="M463" s="3">
        <v>0</v>
      </c>
      <c r="N463" s="3">
        <v>2</v>
      </c>
      <c r="O463" s="4">
        <v>0</v>
      </c>
      <c r="P463" s="4">
        <v>0</v>
      </c>
      <c r="Q463" s="4">
        <v>0</v>
      </c>
      <c r="R463" s="4">
        <v>1.7</v>
      </c>
      <c r="S463" s="4">
        <v>0</v>
      </c>
      <c r="T463" s="2" t="s">
        <v>3091</v>
      </c>
      <c r="U463" s="2" t="s">
        <v>3092</v>
      </c>
      <c r="V463" s="2" t="s">
        <v>2</v>
      </c>
      <c r="W463" s="2" t="s">
        <v>2</v>
      </c>
    </row>
    <row r="464" spans="1:23" ht="24" customHeight="1" x14ac:dyDescent="0.3">
      <c r="A464" s="2" t="s">
        <v>3093</v>
      </c>
      <c r="B464" s="11"/>
      <c r="C464" s="11"/>
      <c r="D464" s="2" t="s">
        <v>3094</v>
      </c>
      <c r="E464" s="2" t="s">
        <v>3095</v>
      </c>
      <c r="F464" s="2" t="s">
        <v>3096</v>
      </c>
      <c r="G464" s="2" t="s">
        <v>2</v>
      </c>
      <c r="H464" s="2" t="s">
        <v>2</v>
      </c>
      <c r="I464" s="2" t="s">
        <v>2</v>
      </c>
      <c r="J464" s="2" t="s">
        <v>28</v>
      </c>
      <c r="K464" s="3">
        <v>0</v>
      </c>
      <c r="L464" s="3">
        <v>0</v>
      </c>
      <c r="M464" s="3">
        <v>0</v>
      </c>
      <c r="N464" s="3">
        <v>2</v>
      </c>
      <c r="O464" s="4">
        <v>0</v>
      </c>
      <c r="P464" s="4">
        <v>0</v>
      </c>
      <c r="Q464" s="4">
        <v>0</v>
      </c>
      <c r="R464" s="4">
        <v>3.4</v>
      </c>
      <c r="S464" s="4">
        <v>0</v>
      </c>
      <c r="T464" s="2" t="s">
        <v>2</v>
      </c>
      <c r="U464" s="2" t="s">
        <v>3097</v>
      </c>
      <c r="V464" s="2" t="s">
        <v>2</v>
      </c>
      <c r="W464" s="2" t="s">
        <v>2</v>
      </c>
    </row>
    <row r="465" spans="1:23" ht="24" customHeight="1" x14ac:dyDescent="0.3">
      <c r="A465" s="2" t="s">
        <v>3098</v>
      </c>
      <c r="B465" s="11"/>
      <c r="C465" s="11"/>
      <c r="D465" s="2" t="s">
        <v>3099</v>
      </c>
      <c r="E465" s="2" t="s">
        <v>3100</v>
      </c>
      <c r="F465" s="2" t="s">
        <v>3101</v>
      </c>
      <c r="G465" s="2" t="s">
        <v>2</v>
      </c>
      <c r="H465" s="2" t="s">
        <v>2</v>
      </c>
      <c r="I465" s="2" t="s">
        <v>2</v>
      </c>
      <c r="J465" s="2" t="s">
        <v>28</v>
      </c>
      <c r="K465" s="3">
        <v>0</v>
      </c>
      <c r="L465" s="3">
        <v>0</v>
      </c>
      <c r="M465" s="3">
        <v>0</v>
      </c>
      <c r="N465" s="3">
        <v>2</v>
      </c>
      <c r="O465" s="4">
        <v>0</v>
      </c>
      <c r="P465" s="4">
        <v>0</v>
      </c>
      <c r="Q465" s="4">
        <v>0</v>
      </c>
      <c r="R465" s="4">
        <v>4.4000000000000004</v>
      </c>
      <c r="S465" s="4">
        <v>0</v>
      </c>
      <c r="T465" s="2" t="s">
        <v>2</v>
      </c>
      <c r="U465" s="2" t="s">
        <v>3102</v>
      </c>
      <c r="V465" s="2" t="s">
        <v>2</v>
      </c>
      <c r="W465" s="2" t="s">
        <v>2</v>
      </c>
    </row>
    <row r="466" spans="1:23" ht="24" customHeight="1" x14ac:dyDescent="0.3">
      <c r="A466" s="2" t="s">
        <v>3103</v>
      </c>
      <c r="B466" s="11"/>
      <c r="C466" s="11"/>
      <c r="D466" s="2" t="s">
        <v>2090</v>
      </c>
      <c r="E466" s="2" t="s">
        <v>3104</v>
      </c>
      <c r="F466" s="2" t="s">
        <v>3105</v>
      </c>
      <c r="G466" s="2" t="s">
        <v>2</v>
      </c>
      <c r="H466" s="2" t="s">
        <v>2</v>
      </c>
      <c r="I466" s="2" t="s">
        <v>2</v>
      </c>
      <c r="J466" s="2" t="s">
        <v>28</v>
      </c>
      <c r="K466" s="3">
        <v>0</v>
      </c>
      <c r="L466" s="3">
        <v>0</v>
      </c>
      <c r="M466" s="3">
        <v>0</v>
      </c>
      <c r="N466" s="3">
        <v>3</v>
      </c>
      <c r="O466" s="4">
        <v>0</v>
      </c>
      <c r="P466" s="4">
        <v>0</v>
      </c>
      <c r="Q466" s="4">
        <v>0</v>
      </c>
      <c r="R466" s="4">
        <v>76.5</v>
      </c>
      <c r="S466" s="4">
        <v>0</v>
      </c>
      <c r="T466" s="2" t="s">
        <v>2</v>
      </c>
      <c r="U466" s="2" t="s">
        <v>3106</v>
      </c>
      <c r="V466" s="2" t="s">
        <v>3006</v>
      </c>
      <c r="W466" s="2" t="s">
        <v>3107</v>
      </c>
    </row>
    <row r="467" spans="1:23" ht="24" customHeight="1" x14ac:dyDescent="0.3">
      <c r="A467" s="2" t="s">
        <v>3108</v>
      </c>
      <c r="B467" s="11"/>
      <c r="C467" s="11"/>
      <c r="D467" s="2" t="s">
        <v>3109</v>
      </c>
      <c r="E467" s="2" t="s">
        <v>3110</v>
      </c>
      <c r="F467" s="2" t="s">
        <v>3111</v>
      </c>
      <c r="G467" s="2" t="s">
        <v>2</v>
      </c>
      <c r="H467" s="2" t="s">
        <v>2</v>
      </c>
      <c r="I467" s="2" t="s">
        <v>121</v>
      </c>
      <c r="J467" s="2" t="s">
        <v>2</v>
      </c>
      <c r="K467" s="3">
        <v>0</v>
      </c>
      <c r="L467" s="3">
        <v>0</v>
      </c>
      <c r="M467" s="3">
        <v>5</v>
      </c>
      <c r="N467" s="3">
        <v>0</v>
      </c>
      <c r="O467" s="4">
        <v>0</v>
      </c>
      <c r="P467" s="4">
        <v>0</v>
      </c>
      <c r="Q467" s="4">
        <v>11.6</v>
      </c>
      <c r="R467" s="4">
        <v>0</v>
      </c>
      <c r="S467" s="4">
        <v>1231.5</v>
      </c>
      <c r="T467" s="2" t="s">
        <v>3112</v>
      </c>
      <c r="U467" s="2" t="s">
        <v>3113</v>
      </c>
      <c r="V467" s="2" t="s">
        <v>2</v>
      </c>
      <c r="W467" s="2" t="s">
        <v>2</v>
      </c>
    </row>
    <row r="468" spans="1:23" ht="24" customHeight="1" x14ac:dyDescent="0.3">
      <c r="A468" s="2" t="s">
        <v>3114</v>
      </c>
      <c r="B468" s="11"/>
      <c r="C468" s="11"/>
      <c r="D468" s="2" t="s">
        <v>3115</v>
      </c>
      <c r="E468" s="2" t="s">
        <v>3116</v>
      </c>
      <c r="F468" s="2" t="s">
        <v>3117</v>
      </c>
      <c r="G468" s="2" t="s">
        <v>2</v>
      </c>
      <c r="H468" s="2" t="s">
        <v>2</v>
      </c>
      <c r="I468" s="2" t="s">
        <v>2</v>
      </c>
      <c r="J468" s="2" t="s">
        <v>28</v>
      </c>
      <c r="K468" s="3">
        <v>0</v>
      </c>
      <c r="L468" s="3">
        <v>0</v>
      </c>
      <c r="M468" s="3">
        <v>0</v>
      </c>
      <c r="N468" s="3">
        <v>2</v>
      </c>
      <c r="O468" s="4">
        <v>0</v>
      </c>
      <c r="P468" s="4">
        <v>0</v>
      </c>
      <c r="Q468" s="4">
        <v>0</v>
      </c>
      <c r="R468" s="4">
        <v>2.6</v>
      </c>
      <c r="S468" s="4">
        <v>0</v>
      </c>
      <c r="T468" s="2" t="s">
        <v>3118</v>
      </c>
      <c r="U468" s="2" t="s">
        <v>3119</v>
      </c>
      <c r="V468" s="2" t="s">
        <v>2</v>
      </c>
      <c r="W468" s="2" t="s">
        <v>2</v>
      </c>
    </row>
    <row r="469" spans="1:23" ht="24" customHeight="1" x14ac:dyDescent="0.3">
      <c r="A469" s="2" t="s">
        <v>3120</v>
      </c>
      <c r="B469" s="11"/>
      <c r="C469" s="11"/>
      <c r="D469" s="2" t="s">
        <v>3121</v>
      </c>
      <c r="E469" s="2" t="s">
        <v>3122</v>
      </c>
      <c r="F469" s="2" t="s">
        <v>3123</v>
      </c>
      <c r="G469" s="2" t="s">
        <v>2</v>
      </c>
      <c r="H469" s="2" t="s">
        <v>2</v>
      </c>
      <c r="I469" s="2" t="s">
        <v>2</v>
      </c>
      <c r="J469" s="2" t="s">
        <v>28</v>
      </c>
      <c r="K469" s="3">
        <v>0</v>
      </c>
      <c r="L469" s="3">
        <v>0</v>
      </c>
      <c r="M469" s="3">
        <v>0</v>
      </c>
      <c r="N469" s="3">
        <v>2</v>
      </c>
      <c r="O469" s="4">
        <v>0</v>
      </c>
      <c r="P469" s="4">
        <v>0</v>
      </c>
      <c r="Q469" s="4">
        <v>0</v>
      </c>
      <c r="R469" s="4">
        <v>16.5</v>
      </c>
      <c r="S469" s="4">
        <v>1341.8</v>
      </c>
      <c r="T469" s="2" t="s">
        <v>3124</v>
      </c>
      <c r="U469" s="2" t="s">
        <v>3125</v>
      </c>
      <c r="V469" s="2" t="s">
        <v>2</v>
      </c>
      <c r="W469" s="2" t="s">
        <v>2</v>
      </c>
    </row>
    <row r="470" spans="1:23" ht="24" customHeight="1" x14ac:dyDescent="0.3">
      <c r="A470" s="2" t="s">
        <v>3126</v>
      </c>
      <c r="B470" s="11"/>
      <c r="C470" s="11"/>
      <c r="D470" s="2" t="s">
        <v>3127</v>
      </c>
      <c r="E470" s="2" t="s">
        <v>3128</v>
      </c>
      <c r="F470" s="2" t="s">
        <v>3129</v>
      </c>
      <c r="G470" s="2" t="s">
        <v>2</v>
      </c>
      <c r="H470" s="2" t="s">
        <v>2</v>
      </c>
      <c r="I470" s="2" t="s">
        <v>2</v>
      </c>
      <c r="J470" s="2" t="s">
        <v>28</v>
      </c>
      <c r="K470" s="3">
        <v>0</v>
      </c>
      <c r="L470" s="3">
        <v>0</v>
      </c>
      <c r="M470" s="3">
        <v>0</v>
      </c>
      <c r="N470" s="3">
        <v>2</v>
      </c>
      <c r="O470" s="4">
        <v>0</v>
      </c>
      <c r="P470" s="4">
        <v>0</v>
      </c>
      <c r="Q470" s="4">
        <v>0</v>
      </c>
      <c r="R470" s="4">
        <v>3.9</v>
      </c>
      <c r="S470" s="4">
        <v>0</v>
      </c>
      <c r="T470" s="2" t="s">
        <v>2</v>
      </c>
      <c r="U470" s="2" t="s">
        <v>3130</v>
      </c>
      <c r="V470" s="2" t="s">
        <v>2</v>
      </c>
      <c r="W470" s="2" t="s">
        <v>2</v>
      </c>
    </row>
    <row r="471" spans="1:23" ht="24" customHeight="1" x14ac:dyDescent="0.3">
      <c r="A471" s="2" t="s">
        <v>3131</v>
      </c>
      <c r="B471" s="11"/>
      <c r="C471" s="11"/>
      <c r="D471" s="2" t="s">
        <v>3132</v>
      </c>
      <c r="E471" s="2" t="s">
        <v>3133</v>
      </c>
      <c r="F471" s="2" t="s">
        <v>3134</v>
      </c>
      <c r="G471" s="2" t="s">
        <v>2</v>
      </c>
      <c r="H471" s="2" t="s">
        <v>2</v>
      </c>
      <c r="I471" s="2" t="s">
        <v>2</v>
      </c>
      <c r="J471" s="2" t="s">
        <v>28</v>
      </c>
      <c r="K471" s="3">
        <v>0</v>
      </c>
      <c r="L471" s="3">
        <v>0</v>
      </c>
      <c r="M471" s="3">
        <v>0</v>
      </c>
      <c r="N471" s="3">
        <v>4</v>
      </c>
      <c r="O471" s="4">
        <v>0</v>
      </c>
      <c r="P471" s="4">
        <v>0</v>
      </c>
      <c r="Q471" s="4">
        <v>0</v>
      </c>
      <c r="R471" s="4">
        <v>17</v>
      </c>
      <c r="S471" s="4">
        <v>0</v>
      </c>
      <c r="T471" s="2" t="s">
        <v>3135</v>
      </c>
      <c r="U471" s="2" t="s">
        <v>3136</v>
      </c>
      <c r="V471" s="2" t="s">
        <v>2</v>
      </c>
      <c r="W471" s="2" t="s">
        <v>2</v>
      </c>
    </row>
    <row r="472" spans="1:23" ht="24" customHeight="1" x14ac:dyDescent="0.3">
      <c r="A472" s="2" t="s">
        <v>3137</v>
      </c>
      <c r="B472" s="11"/>
      <c r="C472" s="11"/>
      <c r="D472" s="2" t="s">
        <v>3138</v>
      </c>
      <c r="E472" s="2" t="s">
        <v>3139</v>
      </c>
      <c r="F472" s="2" t="s">
        <v>3140</v>
      </c>
      <c r="G472" s="2" t="s">
        <v>26</v>
      </c>
      <c r="H472" s="2" t="s">
        <v>303</v>
      </c>
      <c r="I472" s="2" t="s">
        <v>2</v>
      </c>
      <c r="J472" s="2" t="s">
        <v>2</v>
      </c>
      <c r="K472" s="3">
        <v>11</v>
      </c>
      <c r="L472" s="3">
        <v>3</v>
      </c>
      <c r="M472" s="3">
        <v>0</v>
      </c>
      <c r="N472" s="3">
        <v>0</v>
      </c>
      <c r="O472" s="4">
        <v>61.4</v>
      </c>
      <c r="P472" s="4">
        <v>19.2</v>
      </c>
      <c r="Q472" s="4">
        <v>0</v>
      </c>
      <c r="R472" s="4">
        <v>0</v>
      </c>
      <c r="S472" s="4">
        <v>15214.9</v>
      </c>
      <c r="T472" s="2" t="s">
        <v>3141</v>
      </c>
      <c r="U472" s="2" t="s">
        <v>3142</v>
      </c>
      <c r="V472" s="2" t="s">
        <v>2</v>
      </c>
      <c r="W472" s="2" t="s">
        <v>2</v>
      </c>
    </row>
    <row r="473" spans="1:23" ht="24" customHeight="1" x14ac:dyDescent="0.3">
      <c r="A473" s="2" t="s">
        <v>3143</v>
      </c>
      <c r="B473" s="11"/>
      <c r="C473" s="11"/>
      <c r="D473" s="2" t="s">
        <v>3144</v>
      </c>
      <c r="E473" s="2" t="s">
        <v>3145</v>
      </c>
      <c r="F473" s="2" t="s">
        <v>3146</v>
      </c>
      <c r="G473" s="2" t="s">
        <v>2</v>
      </c>
      <c r="H473" s="2" t="s">
        <v>2</v>
      </c>
      <c r="I473" s="2" t="s">
        <v>2</v>
      </c>
      <c r="J473" s="2" t="s">
        <v>28</v>
      </c>
      <c r="K473" s="3">
        <v>0</v>
      </c>
      <c r="L473" s="3">
        <v>0</v>
      </c>
      <c r="M473" s="3">
        <v>0</v>
      </c>
      <c r="N473" s="3">
        <v>2</v>
      </c>
      <c r="O473" s="4">
        <v>0</v>
      </c>
      <c r="P473" s="4">
        <v>0</v>
      </c>
      <c r="Q473" s="4">
        <v>0</v>
      </c>
      <c r="R473" s="4">
        <v>5.7</v>
      </c>
      <c r="S473" s="4">
        <v>0</v>
      </c>
      <c r="T473" s="2" t="s">
        <v>3147</v>
      </c>
      <c r="U473" s="2" t="s">
        <v>3148</v>
      </c>
      <c r="V473" s="2" t="s">
        <v>2</v>
      </c>
      <c r="W473" s="2" t="s">
        <v>2</v>
      </c>
    </row>
    <row r="474" spans="1:23" ht="24" customHeight="1" x14ac:dyDescent="0.3">
      <c r="A474" s="2" t="s">
        <v>3149</v>
      </c>
      <c r="B474" s="11"/>
      <c r="C474" s="11"/>
      <c r="D474" s="2" t="s">
        <v>3150</v>
      </c>
      <c r="E474" s="2" t="s">
        <v>3151</v>
      </c>
      <c r="F474" s="2" t="s">
        <v>3152</v>
      </c>
      <c r="G474" s="2" t="s">
        <v>2</v>
      </c>
      <c r="H474" s="2" t="s">
        <v>2</v>
      </c>
      <c r="I474" s="2" t="s">
        <v>2</v>
      </c>
      <c r="J474" s="2" t="s">
        <v>28</v>
      </c>
      <c r="K474" s="3">
        <v>0</v>
      </c>
      <c r="L474" s="3">
        <v>0</v>
      </c>
      <c r="M474" s="3">
        <v>0</v>
      </c>
      <c r="N474" s="3">
        <v>3</v>
      </c>
      <c r="O474" s="4">
        <v>0</v>
      </c>
      <c r="P474" s="4">
        <v>0</v>
      </c>
      <c r="Q474" s="4">
        <v>0</v>
      </c>
      <c r="R474" s="4">
        <v>61.8</v>
      </c>
      <c r="S474" s="4">
        <v>21885</v>
      </c>
      <c r="T474" s="2" t="s">
        <v>2</v>
      </c>
      <c r="U474" s="2" t="s">
        <v>3153</v>
      </c>
      <c r="V474" s="2" t="s">
        <v>2</v>
      </c>
      <c r="W474" s="2" t="s">
        <v>2</v>
      </c>
    </row>
    <row r="475" spans="1:23" ht="24" customHeight="1" x14ac:dyDescent="0.3">
      <c r="A475" s="2" t="s">
        <v>3154</v>
      </c>
      <c r="B475" s="11"/>
      <c r="C475" s="11"/>
      <c r="D475" s="2" t="s">
        <v>3155</v>
      </c>
      <c r="E475" s="2" t="s">
        <v>3156</v>
      </c>
      <c r="F475" s="2" t="s">
        <v>3157</v>
      </c>
      <c r="G475" s="2" t="s">
        <v>2</v>
      </c>
      <c r="H475" s="2" t="s">
        <v>2</v>
      </c>
      <c r="I475" s="2" t="s">
        <v>121</v>
      </c>
      <c r="J475" s="2" t="s">
        <v>2</v>
      </c>
      <c r="K475" s="3">
        <v>0</v>
      </c>
      <c r="L475" s="3">
        <v>0</v>
      </c>
      <c r="M475" s="3">
        <v>4</v>
      </c>
      <c r="N475" s="3">
        <v>0</v>
      </c>
      <c r="O475" s="4">
        <v>0</v>
      </c>
      <c r="P475" s="4">
        <v>0</v>
      </c>
      <c r="Q475" s="4">
        <v>9</v>
      </c>
      <c r="R475" s="4">
        <v>0</v>
      </c>
      <c r="S475" s="4">
        <v>4480.8</v>
      </c>
      <c r="T475" s="2" t="s">
        <v>3158</v>
      </c>
      <c r="U475" s="2" t="s">
        <v>3159</v>
      </c>
      <c r="V475" s="2" t="s">
        <v>2</v>
      </c>
      <c r="W475" s="2" t="s">
        <v>2</v>
      </c>
    </row>
    <row r="476" spans="1:23" ht="24" customHeight="1" x14ac:dyDescent="0.3">
      <c r="A476" s="2" t="s">
        <v>3160</v>
      </c>
      <c r="B476" s="11"/>
      <c r="C476" s="11"/>
      <c r="D476" s="2" t="s">
        <v>3161</v>
      </c>
      <c r="E476" s="2" t="s">
        <v>3162</v>
      </c>
      <c r="F476" s="2" t="s">
        <v>3163</v>
      </c>
      <c r="G476" s="2" t="s">
        <v>2</v>
      </c>
      <c r="H476" s="2" t="s">
        <v>2</v>
      </c>
      <c r="I476" s="2" t="s">
        <v>121</v>
      </c>
      <c r="J476" s="2" t="s">
        <v>2</v>
      </c>
      <c r="K476" s="3">
        <v>0</v>
      </c>
      <c r="L476" s="3">
        <v>0</v>
      </c>
      <c r="M476" s="3">
        <v>4</v>
      </c>
      <c r="N476" s="3">
        <v>0</v>
      </c>
      <c r="O476" s="4">
        <v>0</v>
      </c>
      <c r="P476" s="4">
        <v>0</v>
      </c>
      <c r="Q476" s="4">
        <v>6.7</v>
      </c>
      <c r="R476" s="4">
        <v>0</v>
      </c>
      <c r="S476" s="4">
        <v>26720.400000000001</v>
      </c>
      <c r="T476" s="2" t="s">
        <v>3164</v>
      </c>
      <c r="U476" s="2" t="s">
        <v>1097</v>
      </c>
      <c r="V476" s="2" t="s">
        <v>2</v>
      </c>
      <c r="W476" s="2" t="s">
        <v>2</v>
      </c>
    </row>
    <row r="477" spans="1:23" ht="24" customHeight="1" x14ac:dyDescent="0.3">
      <c r="A477" s="2" t="s">
        <v>3165</v>
      </c>
      <c r="B477" s="11"/>
      <c r="C477" s="11"/>
      <c r="D477" s="2" t="s">
        <v>3166</v>
      </c>
      <c r="E477" s="2" t="s">
        <v>3167</v>
      </c>
      <c r="F477" s="2" t="s">
        <v>3168</v>
      </c>
      <c r="G477" s="2" t="s">
        <v>2</v>
      </c>
      <c r="H477" s="2" t="s">
        <v>2</v>
      </c>
      <c r="I477" s="2" t="s">
        <v>2</v>
      </c>
      <c r="J477" s="2" t="s">
        <v>28</v>
      </c>
      <c r="K477" s="3">
        <v>0</v>
      </c>
      <c r="L477" s="3">
        <v>0</v>
      </c>
      <c r="M477" s="3">
        <v>0</v>
      </c>
      <c r="N477" s="3">
        <v>2</v>
      </c>
      <c r="O477" s="4">
        <v>0</v>
      </c>
      <c r="P477" s="4">
        <v>0</v>
      </c>
      <c r="Q477" s="4">
        <v>0</v>
      </c>
      <c r="R477" s="4">
        <v>25.5</v>
      </c>
      <c r="S477" s="4">
        <v>764.6</v>
      </c>
      <c r="T477" s="2" t="s">
        <v>3169</v>
      </c>
      <c r="U477" s="2" t="s">
        <v>3170</v>
      </c>
      <c r="V477" s="2" t="s">
        <v>2</v>
      </c>
      <c r="W477" s="2" t="s">
        <v>2</v>
      </c>
    </row>
    <row r="478" spans="1:23" ht="24" customHeight="1" x14ac:dyDescent="0.3">
      <c r="A478" s="2" t="s">
        <v>3171</v>
      </c>
      <c r="B478" s="11"/>
      <c r="C478" s="11"/>
      <c r="D478" s="2" t="s">
        <v>3172</v>
      </c>
      <c r="E478" s="2" t="s">
        <v>3173</v>
      </c>
      <c r="F478" s="2" t="s">
        <v>3174</v>
      </c>
      <c r="G478" s="2" t="s">
        <v>2</v>
      </c>
      <c r="H478" s="2" t="s">
        <v>2</v>
      </c>
      <c r="I478" s="2" t="s">
        <v>2</v>
      </c>
      <c r="J478" s="2" t="s">
        <v>28</v>
      </c>
      <c r="K478" s="3">
        <v>0</v>
      </c>
      <c r="L478" s="3">
        <v>0</v>
      </c>
      <c r="M478" s="3">
        <v>0</v>
      </c>
      <c r="N478" s="3">
        <v>2</v>
      </c>
      <c r="O478" s="4">
        <v>0</v>
      </c>
      <c r="P478" s="4">
        <v>0</v>
      </c>
      <c r="Q478" s="4">
        <v>0</v>
      </c>
      <c r="R478" s="4">
        <v>2.9</v>
      </c>
      <c r="S478" s="4">
        <v>93.8</v>
      </c>
      <c r="T478" s="2" t="s">
        <v>3175</v>
      </c>
      <c r="U478" s="2" t="s">
        <v>3176</v>
      </c>
      <c r="V478" s="2" t="s">
        <v>2</v>
      </c>
      <c r="W478" s="2" t="s">
        <v>2</v>
      </c>
    </row>
    <row r="479" spans="1:23" ht="24" customHeight="1" x14ac:dyDescent="0.3">
      <c r="A479" s="2" t="s">
        <v>3177</v>
      </c>
      <c r="B479" s="11"/>
      <c r="C479" s="11"/>
      <c r="D479" s="2" t="s">
        <v>3178</v>
      </c>
      <c r="E479" s="2" t="s">
        <v>3179</v>
      </c>
      <c r="F479" s="2" t="s">
        <v>3180</v>
      </c>
      <c r="G479" s="2" t="s">
        <v>2</v>
      </c>
      <c r="H479" s="2" t="s">
        <v>2</v>
      </c>
      <c r="I479" s="2" t="s">
        <v>2</v>
      </c>
      <c r="J479" s="2" t="s">
        <v>28</v>
      </c>
      <c r="K479" s="3">
        <v>0</v>
      </c>
      <c r="L479" s="3">
        <v>0</v>
      </c>
      <c r="M479" s="3">
        <v>0</v>
      </c>
      <c r="N479" s="3">
        <v>2</v>
      </c>
      <c r="O479" s="4">
        <v>0</v>
      </c>
      <c r="P479" s="4">
        <v>0</v>
      </c>
      <c r="Q479" s="4">
        <v>0</v>
      </c>
      <c r="R479" s="4">
        <v>52.5</v>
      </c>
      <c r="S479" s="4">
        <v>0</v>
      </c>
      <c r="T479" s="2" t="s">
        <v>3181</v>
      </c>
      <c r="U479" s="2" t="s">
        <v>2536</v>
      </c>
      <c r="V479" s="2" t="s">
        <v>2</v>
      </c>
      <c r="W479" s="2" t="s">
        <v>2</v>
      </c>
    </row>
    <row r="480" spans="1:23" ht="24" customHeight="1" x14ac:dyDescent="0.3">
      <c r="A480" s="2" t="s">
        <v>3182</v>
      </c>
      <c r="B480" s="11"/>
      <c r="C480" s="11"/>
      <c r="D480" s="2" t="s">
        <v>3183</v>
      </c>
      <c r="E480" s="2" t="s">
        <v>3184</v>
      </c>
      <c r="F480" s="2" t="s">
        <v>3185</v>
      </c>
      <c r="G480" s="2" t="s">
        <v>2</v>
      </c>
      <c r="H480" s="2" t="s">
        <v>2</v>
      </c>
      <c r="I480" s="2" t="s">
        <v>2</v>
      </c>
      <c r="J480" s="2" t="s">
        <v>28</v>
      </c>
      <c r="K480" s="3">
        <v>0</v>
      </c>
      <c r="L480" s="3">
        <v>0</v>
      </c>
      <c r="M480" s="3">
        <v>0</v>
      </c>
      <c r="N480" s="3">
        <v>2</v>
      </c>
      <c r="O480" s="4">
        <v>0</v>
      </c>
      <c r="P480" s="4">
        <v>0</v>
      </c>
      <c r="Q480" s="4">
        <v>0</v>
      </c>
      <c r="R480" s="4">
        <v>6</v>
      </c>
      <c r="S480" s="4">
        <v>0</v>
      </c>
      <c r="T480" s="2" t="s">
        <v>3186</v>
      </c>
      <c r="U480" s="2" t="s">
        <v>3187</v>
      </c>
      <c r="V480" s="2" t="s">
        <v>2</v>
      </c>
      <c r="W480" s="2" t="s">
        <v>2</v>
      </c>
    </row>
    <row r="481" spans="1:23" ht="24" customHeight="1" x14ac:dyDescent="0.3">
      <c r="A481" s="2" t="s">
        <v>3188</v>
      </c>
      <c r="B481" s="11"/>
      <c r="C481" s="11"/>
      <c r="D481" s="2" t="s">
        <v>3189</v>
      </c>
      <c r="E481" s="2" t="s">
        <v>3190</v>
      </c>
      <c r="F481" s="2" t="s">
        <v>3185</v>
      </c>
      <c r="G481" s="2" t="s">
        <v>2</v>
      </c>
      <c r="H481" s="2" t="s">
        <v>2</v>
      </c>
      <c r="I481" s="2" t="s">
        <v>2</v>
      </c>
      <c r="J481" s="2" t="s">
        <v>28</v>
      </c>
      <c r="K481" s="3">
        <v>0</v>
      </c>
      <c r="L481" s="3">
        <v>0</v>
      </c>
      <c r="M481" s="3">
        <v>0</v>
      </c>
      <c r="N481" s="3">
        <v>3</v>
      </c>
      <c r="O481" s="4">
        <v>0</v>
      </c>
      <c r="P481" s="4">
        <v>0</v>
      </c>
      <c r="Q481" s="4">
        <v>0</v>
      </c>
      <c r="R481" s="4">
        <v>4.9000000000000004</v>
      </c>
      <c r="S481" s="4">
        <v>0</v>
      </c>
      <c r="T481" s="2" t="s">
        <v>3191</v>
      </c>
      <c r="U481" s="2" t="s">
        <v>569</v>
      </c>
      <c r="V481" s="2" t="s">
        <v>2</v>
      </c>
      <c r="W481" s="2" t="s">
        <v>2</v>
      </c>
    </row>
    <row r="482" spans="1:23" ht="24" customHeight="1" x14ac:dyDescent="0.3">
      <c r="A482" s="2" t="s">
        <v>3192</v>
      </c>
      <c r="B482" s="11"/>
      <c r="C482" s="11"/>
      <c r="D482" s="2" t="s">
        <v>3193</v>
      </c>
      <c r="E482" s="2" t="s">
        <v>999</v>
      </c>
      <c r="F482" s="2" t="s">
        <v>3194</v>
      </c>
      <c r="G482" s="2" t="s">
        <v>26</v>
      </c>
      <c r="H482" s="2" t="s">
        <v>303</v>
      </c>
      <c r="I482" s="2" t="s">
        <v>2</v>
      </c>
      <c r="J482" s="2" t="s">
        <v>2</v>
      </c>
      <c r="K482" s="3">
        <v>9</v>
      </c>
      <c r="L482" s="3">
        <v>2</v>
      </c>
      <c r="M482" s="3">
        <v>0</v>
      </c>
      <c r="N482" s="3">
        <v>0</v>
      </c>
      <c r="O482" s="4">
        <v>60</v>
      </c>
      <c r="P482" s="4">
        <v>14.3</v>
      </c>
      <c r="Q482" s="4">
        <v>0</v>
      </c>
      <c r="R482" s="4">
        <v>0</v>
      </c>
      <c r="S482" s="4">
        <v>9029</v>
      </c>
      <c r="T482" s="2" t="s">
        <v>3195</v>
      </c>
      <c r="U482" s="2" t="s">
        <v>2608</v>
      </c>
      <c r="V482" s="2" t="s">
        <v>2</v>
      </c>
      <c r="W482" s="2" t="s">
        <v>2</v>
      </c>
    </row>
    <row r="483" spans="1:23" ht="24" customHeight="1" x14ac:dyDescent="0.3">
      <c r="A483" s="2" t="s">
        <v>3196</v>
      </c>
      <c r="B483" s="11"/>
      <c r="C483" s="11"/>
      <c r="D483" s="2" t="s">
        <v>3197</v>
      </c>
      <c r="E483" s="2" t="s">
        <v>3198</v>
      </c>
      <c r="F483" s="2" t="s">
        <v>3199</v>
      </c>
      <c r="G483" s="2" t="s">
        <v>2</v>
      </c>
      <c r="H483" s="2" t="s">
        <v>2</v>
      </c>
      <c r="I483" s="2" t="s">
        <v>2</v>
      </c>
      <c r="J483" s="2" t="s">
        <v>28</v>
      </c>
      <c r="K483" s="3">
        <v>0</v>
      </c>
      <c r="L483" s="3">
        <v>0</v>
      </c>
      <c r="M483" s="3">
        <v>0</v>
      </c>
      <c r="N483" s="3">
        <v>2</v>
      </c>
      <c r="O483" s="4">
        <v>0</v>
      </c>
      <c r="P483" s="4">
        <v>0</v>
      </c>
      <c r="Q483" s="4">
        <v>0</v>
      </c>
      <c r="R483" s="4">
        <v>6</v>
      </c>
      <c r="S483" s="4">
        <v>571.6</v>
      </c>
      <c r="T483" s="2" t="s">
        <v>3200</v>
      </c>
      <c r="U483" s="2" t="s">
        <v>668</v>
      </c>
      <c r="V483" s="2" t="s">
        <v>2</v>
      </c>
      <c r="W483" s="2" t="s">
        <v>2</v>
      </c>
    </row>
    <row r="484" spans="1:23" ht="24" customHeight="1" x14ac:dyDescent="0.3">
      <c r="A484" s="2" t="s">
        <v>3201</v>
      </c>
      <c r="B484" s="11"/>
      <c r="C484" s="11"/>
      <c r="D484" s="2" t="s">
        <v>3202</v>
      </c>
      <c r="E484" s="2" t="s">
        <v>3203</v>
      </c>
      <c r="F484" s="2" t="s">
        <v>3204</v>
      </c>
      <c r="G484" s="2" t="s">
        <v>2</v>
      </c>
      <c r="H484" s="2" t="s">
        <v>2</v>
      </c>
      <c r="I484" s="2" t="s">
        <v>2</v>
      </c>
      <c r="J484" s="2" t="s">
        <v>28</v>
      </c>
      <c r="K484" s="3">
        <v>0</v>
      </c>
      <c r="L484" s="3">
        <v>0</v>
      </c>
      <c r="M484" s="3">
        <v>0</v>
      </c>
      <c r="N484" s="3">
        <v>2</v>
      </c>
      <c r="O484" s="4">
        <v>0</v>
      </c>
      <c r="P484" s="4">
        <v>0</v>
      </c>
      <c r="Q484" s="4">
        <v>0</v>
      </c>
      <c r="R484" s="4">
        <v>1.9</v>
      </c>
      <c r="S484" s="4">
        <v>0</v>
      </c>
      <c r="T484" s="2" t="s">
        <v>3205</v>
      </c>
      <c r="U484" s="2" t="s">
        <v>2140</v>
      </c>
      <c r="V484" s="2" t="s">
        <v>3206</v>
      </c>
      <c r="W484" s="2" t="s">
        <v>2</v>
      </c>
    </row>
    <row r="485" spans="1:23" ht="24" customHeight="1" x14ac:dyDescent="0.3">
      <c r="A485" s="2" t="s">
        <v>3207</v>
      </c>
      <c r="B485" s="11"/>
      <c r="C485" s="11"/>
      <c r="D485" s="2" t="s">
        <v>3208</v>
      </c>
      <c r="E485" s="2" t="s">
        <v>3209</v>
      </c>
      <c r="F485" s="2" t="s">
        <v>3210</v>
      </c>
      <c r="G485" s="2" t="s">
        <v>2</v>
      </c>
      <c r="H485" s="2" t="s">
        <v>2</v>
      </c>
      <c r="I485" s="2" t="s">
        <v>2</v>
      </c>
      <c r="J485" s="2" t="s">
        <v>28</v>
      </c>
      <c r="K485" s="3">
        <v>0</v>
      </c>
      <c r="L485" s="3">
        <v>0</v>
      </c>
      <c r="M485" s="3">
        <v>0</v>
      </c>
      <c r="N485" s="3">
        <v>3</v>
      </c>
      <c r="O485" s="4">
        <v>0</v>
      </c>
      <c r="P485" s="4">
        <v>0</v>
      </c>
      <c r="Q485" s="4">
        <v>0</v>
      </c>
      <c r="R485" s="4">
        <v>68</v>
      </c>
      <c r="S485" s="4">
        <v>21539.599999999999</v>
      </c>
      <c r="T485" s="2" t="s">
        <v>3211</v>
      </c>
      <c r="U485" s="2" t="s">
        <v>3212</v>
      </c>
      <c r="V485" s="2" t="s">
        <v>2</v>
      </c>
      <c r="W485" s="2" t="s">
        <v>2</v>
      </c>
    </row>
    <row r="486" spans="1:23" ht="24" customHeight="1" x14ac:dyDescent="0.3">
      <c r="A486" s="2" t="s">
        <v>3213</v>
      </c>
      <c r="B486" s="11"/>
      <c r="C486" s="11"/>
      <c r="D486" s="2" t="s">
        <v>3214</v>
      </c>
      <c r="E486" s="2" t="s">
        <v>3215</v>
      </c>
      <c r="F486" s="2" t="s">
        <v>3216</v>
      </c>
      <c r="G486" s="2" t="s">
        <v>2</v>
      </c>
      <c r="H486" s="2" t="s">
        <v>2</v>
      </c>
      <c r="I486" s="2" t="s">
        <v>2</v>
      </c>
      <c r="J486" s="2" t="s">
        <v>28</v>
      </c>
      <c r="K486" s="3">
        <v>0</v>
      </c>
      <c r="L486" s="3">
        <v>0</v>
      </c>
      <c r="M486" s="3">
        <v>0</v>
      </c>
      <c r="N486" s="3">
        <v>6</v>
      </c>
      <c r="O486" s="4">
        <v>0</v>
      </c>
      <c r="P486" s="4">
        <v>0</v>
      </c>
      <c r="Q486" s="4">
        <v>0</v>
      </c>
      <c r="R486" s="4">
        <v>140.6</v>
      </c>
      <c r="S486" s="4">
        <v>197.9</v>
      </c>
      <c r="T486" s="2" t="s">
        <v>3217</v>
      </c>
      <c r="U486" s="2" t="s">
        <v>435</v>
      </c>
      <c r="V486" s="2" t="s">
        <v>2</v>
      </c>
      <c r="W486" s="2" t="s">
        <v>2</v>
      </c>
    </row>
    <row r="487" spans="1:23" ht="24" customHeight="1" x14ac:dyDescent="0.3">
      <c r="A487" s="2" t="s">
        <v>3218</v>
      </c>
      <c r="B487" s="11"/>
      <c r="C487" s="11"/>
      <c r="D487" s="2" t="s">
        <v>3219</v>
      </c>
      <c r="E487" s="2" t="s">
        <v>3220</v>
      </c>
      <c r="F487" s="2" t="s">
        <v>3221</v>
      </c>
      <c r="G487" s="2" t="s">
        <v>26</v>
      </c>
      <c r="H487" s="2" t="s">
        <v>303</v>
      </c>
      <c r="I487" s="2" t="s">
        <v>2</v>
      </c>
      <c r="J487" s="2" t="s">
        <v>2</v>
      </c>
      <c r="K487" s="3">
        <v>24</v>
      </c>
      <c r="L487" s="3">
        <v>4</v>
      </c>
      <c r="M487" s="3">
        <v>0</v>
      </c>
      <c r="N487" s="3">
        <v>0</v>
      </c>
      <c r="O487" s="4">
        <v>120.8</v>
      </c>
      <c r="P487" s="4">
        <v>22.4</v>
      </c>
      <c r="Q487" s="4">
        <v>0</v>
      </c>
      <c r="R487" s="4">
        <v>0</v>
      </c>
      <c r="S487" s="4">
        <v>30697.4</v>
      </c>
      <c r="T487" s="2" t="s">
        <v>3222</v>
      </c>
      <c r="U487" s="2" t="s">
        <v>3223</v>
      </c>
      <c r="V487" s="2" t="s">
        <v>2</v>
      </c>
      <c r="W487" s="2" t="s">
        <v>2</v>
      </c>
    </row>
    <row r="488" spans="1:23" ht="24" customHeight="1" x14ac:dyDescent="0.3">
      <c r="A488" s="2" t="s">
        <v>3224</v>
      </c>
      <c r="B488" s="11"/>
      <c r="C488" s="11"/>
      <c r="D488" s="2" t="s">
        <v>3225</v>
      </c>
      <c r="E488" s="2" t="s">
        <v>3226</v>
      </c>
      <c r="F488" s="2" t="s">
        <v>3227</v>
      </c>
      <c r="G488" s="2" t="s">
        <v>2</v>
      </c>
      <c r="H488" s="2" t="s">
        <v>2</v>
      </c>
      <c r="I488" s="2" t="s">
        <v>2</v>
      </c>
      <c r="J488" s="2" t="s">
        <v>28</v>
      </c>
      <c r="K488" s="3">
        <v>0</v>
      </c>
      <c r="L488" s="3">
        <v>0</v>
      </c>
      <c r="M488" s="3">
        <v>0</v>
      </c>
      <c r="N488" s="3">
        <v>2</v>
      </c>
      <c r="O488" s="4">
        <v>0</v>
      </c>
      <c r="P488" s="4">
        <v>0</v>
      </c>
      <c r="Q488" s="4">
        <v>0</v>
      </c>
      <c r="R488" s="4">
        <v>2.8</v>
      </c>
      <c r="S488" s="4">
        <v>0</v>
      </c>
      <c r="T488" s="2" t="s">
        <v>3228</v>
      </c>
      <c r="U488" s="2" t="s">
        <v>3229</v>
      </c>
      <c r="V488" s="2" t="s">
        <v>2</v>
      </c>
      <c r="W488" s="2" t="s">
        <v>2</v>
      </c>
    </row>
    <row r="489" spans="1:23" ht="24" customHeight="1" x14ac:dyDescent="0.3">
      <c r="A489" s="2" t="s">
        <v>3230</v>
      </c>
      <c r="B489" s="11"/>
      <c r="C489" s="11"/>
      <c r="D489" s="2" t="s">
        <v>3231</v>
      </c>
      <c r="E489" s="2" t="s">
        <v>3167</v>
      </c>
      <c r="F489" s="2" t="s">
        <v>3232</v>
      </c>
      <c r="G489" s="2" t="s">
        <v>2</v>
      </c>
      <c r="H489" s="2" t="s">
        <v>2</v>
      </c>
      <c r="I489" s="2" t="s">
        <v>2</v>
      </c>
      <c r="J489" s="2" t="s">
        <v>28</v>
      </c>
      <c r="K489" s="3">
        <v>0</v>
      </c>
      <c r="L489" s="3">
        <v>0</v>
      </c>
      <c r="M489" s="3">
        <v>0</v>
      </c>
      <c r="N489" s="3">
        <v>5</v>
      </c>
      <c r="O489" s="4">
        <v>0</v>
      </c>
      <c r="P489" s="4">
        <v>0</v>
      </c>
      <c r="Q489" s="4">
        <v>0</v>
      </c>
      <c r="R489" s="4">
        <v>42</v>
      </c>
      <c r="S489" s="4">
        <v>136.6</v>
      </c>
      <c r="T489" s="2" t="s">
        <v>2</v>
      </c>
      <c r="U489" s="2" t="s">
        <v>281</v>
      </c>
      <c r="V489" s="2" t="s">
        <v>2</v>
      </c>
      <c r="W489" s="2" t="s">
        <v>2</v>
      </c>
    </row>
    <row r="490" spans="1:23" ht="24" customHeight="1" x14ac:dyDescent="0.3">
      <c r="A490" s="2" t="s">
        <v>3233</v>
      </c>
      <c r="B490" s="11"/>
      <c r="C490" s="11"/>
      <c r="D490" s="2" t="s">
        <v>3234</v>
      </c>
      <c r="E490" s="2" t="s">
        <v>1013</v>
      </c>
      <c r="F490" s="2" t="s">
        <v>3235</v>
      </c>
      <c r="G490" s="2" t="s">
        <v>2</v>
      </c>
      <c r="H490" s="2" t="s">
        <v>2</v>
      </c>
      <c r="I490" s="2" t="s">
        <v>2</v>
      </c>
      <c r="J490" s="2" t="s">
        <v>28</v>
      </c>
      <c r="K490" s="3">
        <v>0</v>
      </c>
      <c r="L490" s="3">
        <v>0</v>
      </c>
      <c r="M490" s="3">
        <v>0</v>
      </c>
      <c r="N490" s="3">
        <v>6</v>
      </c>
      <c r="O490" s="4">
        <v>0</v>
      </c>
      <c r="P490" s="4">
        <v>0</v>
      </c>
      <c r="Q490" s="4">
        <v>0</v>
      </c>
      <c r="R490" s="4">
        <v>139.4</v>
      </c>
      <c r="S490" s="4">
        <v>68863.5</v>
      </c>
      <c r="T490" s="2" t="s">
        <v>3236</v>
      </c>
      <c r="U490" s="2" t="s">
        <v>760</v>
      </c>
      <c r="V490" s="2" t="s">
        <v>2</v>
      </c>
      <c r="W490" s="2" t="s">
        <v>2</v>
      </c>
    </row>
    <row r="491" spans="1:23" ht="24" customHeight="1" x14ac:dyDescent="0.3">
      <c r="A491" s="2" t="s">
        <v>3237</v>
      </c>
      <c r="B491" s="11"/>
      <c r="C491" s="11"/>
      <c r="D491" s="2" t="s">
        <v>3238</v>
      </c>
      <c r="E491" s="2" t="s">
        <v>3239</v>
      </c>
      <c r="F491" s="2" t="s">
        <v>3240</v>
      </c>
      <c r="G491" s="2" t="s">
        <v>2</v>
      </c>
      <c r="H491" s="2" t="s">
        <v>2</v>
      </c>
      <c r="I491" s="2" t="s">
        <v>2</v>
      </c>
      <c r="J491" s="2" t="s">
        <v>28</v>
      </c>
      <c r="K491" s="3">
        <v>0</v>
      </c>
      <c r="L491" s="3">
        <v>0</v>
      </c>
      <c r="M491" s="3">
        <v>0</v>
      </c>
      <c r="N491" s="3">
        <v>3</v>
      </c>
      <c r="O491" s="4">
        <v>0</v>
      </c>
      <c r="P491" s="4">
        <v>0</v>
      </c>
      <c r="Q491" s="4">
        <v>0</v>
      </c>
      <c r="R491" s="4">
        <v>2.4</v>
      </c>
      <c r="S491" s="4">
        <v>0</v>
      </c>
      <c r="T491" s="2" t="s">
        <v>3241</v>
      </c>
      <c r="U491" s="2" t="s">
        <v>3242</v>
      </c>
      <c r="V491" s="2" t="s">
        <v>2</v>
      </c>
      <c r="W491" s="2" t="s">
        <v>2</v>
      </c>
    </row>
    <row r="492" spans="1:23" ht="24" customHeight="1" x14ac:dyDescent="0.3">
      <c r="A492" s="2" t="s">
        <v>3243</v>
      </c>
      <c r="B492" s="11"/>
      <c r="C492" s="11"/>
      <c r="D492" s="2" t="s">
        <v>3244</v>
      </c>
      <c r="E492" s="2" t="s">
        <v>3245</v>
      </c>
      <c r="F492" s="2" t="s">
        <v>3246</v>
      </c>
      <c r="G492" s="2" t="s">
        <v>2</v>
      </c>
      <c r="H492" s="2" t="s">
        <v>2</v>
      </c>
      <c r="I492" s="2" t="s">
        <v>2</v>
      </c>
      <c r="J492" s="2" t="s">
        <v>28</v>
      </c>
      <c r="K492" s="3">
        <v>0</v>
      </c>
      <c r="L492" s="3">
        <v>0</v>
      </c>
      <c r="M492" s="3">
        <v>0</v>
      </c>
      <c r="N492" s="3">
        <v>4</v>
      </c>
      <c r="O492" s="4">
        <v>0</v>
      </c>
      <c r="P492" s="4">
        <v>0</v>
      </c>
      <c r="Q492" s="4">
        <v>0</v>
      </c>
      <c r="R492" s="4">
        <v>59.5</v>
      </c>
      <c r="S492" s="4">
        <v>0</v>
      </c>
      <c r="T492" s="2" t="s">
        <v>3247</v>
      </c>
      <c r="U492" s="2" t="s">
        <v>3248</v>
      </c>
      <c r="V492" s="2" t="s">
        <v>2</v>
      </c>
      <c r="W492" s="2" t="s">
        <v>2</v>
      </c>
    </row>
    <row r="493" spans="1:23" ht="24" customHeight="1" x14ac:dyDescent="0.3">
      <c r="A493" s="2" t="s">
        <v>3249</v>
      </c>
      <c r="B493" s="11"/>
      <c r="C493" s="11" t="s">
        <v>65</v>
      </c>
      <c r="D493" s="2" t="s">
        <v>3250</v>
      </c>
      <c r="E493" s="2" t="s">
        <v>3251</v>
      </c>
      <c r="F493" s="2" t="s">
        <v>3252</v>
      </c>
      <c r="G493" s="2" t="s">
        <v>2</v>
      </c>
      <c r="H493" s="2" t="s">
        <v>2</v>
      </c>
      <c r="I493" s="2" t="s">
        <v>27</v>
      </c>
      <c r="J493" s="2" t="s">
        <v>2</v>
      </c>
      <c r="K493" s="3">
        <v>0</v>
      </c>
      <c r="L493" s="3">
        <v>0</v>
      </c>
      <c r="M493" s="3">
        <v>2</v>
      </c>
      <c r="N493" s="3">
        <v>0</v>
      </c>
      <c r="O493" s="4">
        <v>0</v>
      </c>
      <c r="P493" s="4">
        <v>0</v>
      </c>
      <c r="Q493" s="4">
        <v>19.5</v>
      </c>
      <c r="R493" s="4">
        <v>0</v>
      </c>
      <c r="S493" s="4">
        <v>0</v>
      </c>
      <c r="T493" s="2" t="s">
        <v>3253</v>
      </c>
      <c r="U493" s="2" t="s">
        <v>134</v>
      </c>
      <c r="V493" s="2" t="s">
        <v>2</v>
      </c>
      <c r="W493" s="2" t="s">
        <v>2</v>
      </c>
    </row>
    <row r="494" spans="1:23" ht="24" customHeight="1" x14ac:dyDescent="0.3">
      <c r="A494" s="2" t="s">
        <v>3254</v>
      </c>
      <c r="B494" s="11"/>
      <c r="C494" s="11"/>
      <c r="D494" s="2" t="s">
        <v>3255</v>
      </c>
      <c r="E494" s="2" t="s">
        <v>3256</v>
      </c>
      <c r="F494" s="2" t="s">
        <v>3257</v>
      </c>
      <c r="G494" s="2" t="s">
        <v>2</v>
      </c>
      <c r="H494" s="2" t="s">
        <v>2</v>
      </c>
      <c r="I494" s="2" t="s">
        <v>2</v>
      </c>
      <c r="J494" s="2" t="s">
        <v>28</v>
      </c>
      <c r="K494" s="3">
        <v>0</v>
      </c>
      <c r="L494" s="3">
        <v>0</v>
      </c>
      <c r="M494" s="3">
        <v>0</v>
      </c>
      <c r="N494" s="3">
        <v>2</v>
      </c>
      <c r="O494" s="4">
        <v>0</v>
      </c>
      <c r="P494" s="4">
        <v>0</v>
      </c>
      <c r="Q494" s="4">
        <v>0</v>
      </c>
      <c r="R494" s="4">
        <v>50</v>
      </c>
      <c r="S494" s="4">
        <v>6236.3</v>
      </c>
      <c r="T494" s="2" t="s">
        <v>3258</v>
      </c>
      <c r="U494" s="2" t="s">
        <v>3259</v>
      </c>
      <c r="V494" s="2" t="s">
        <v>2</v>
      </c>
      <c r="W494" s="2" t="s">
        <v>2</v>
      </c>
    </row>
    <row r="495" spans="1:23" ht="24" customHeight="1" x14ac:dyDescent="0.3">
      <c r="A495" s="2" t="s">
        <v>3260</v>
      </c>
      <c r="B495" s="11"/>
      <c r="C495" s="11"/>
      <c r="D495" s="2" t="s">
        <v>3261</v>
      </c>
      <c r="E495" s="2" t="s">
        <v>3262</v>
      </c>
      <c r="F495" s="2" t="s">
        <v>3263</v>
      </c>
      <c r="G495" s="2" t="s">
        <v>2</v>
      </c>
      <c r="H495" s="2" t="s">
        <v>2</v>
      </c>
      <c r="I495" s="2" t="s">
        <v>2</v>
      </c>
      <c r="J495" s="2" t="s">
        <v>28</v>
      </c>
      <c r="K495" s="3">
        <v>0</v>
      </c>
      <c r="L495" s="3">
        <v>0</v>
      </c>
      <c r="M495" s="3">
        <v>0</v>
      </c>
      <c r="N495" s="3">
        <v>2</v>
      </c>
      <c r="O495" s="4">
        <v>0</v>
      </c>
      <c r="P495" s="4">
        <v>0</v>
      </c>
      <c r="Q495" s="4">
        <v>0</v>
      </c>
      <c r="R495" s="4">
        <v>3.4</v>
      </c>
      <c r="S495" s="4">
        <v>0</v>
      </c>
      <c r="T495" s="2" t="s">
        <v>2</v>
      </c>
      <c r="U495" s="2" t="s">
        <v>1059</v>
      </c>
      <c r="V495" s="2" t="s">
        <v>681</v>
      </c>
      <c r="W495" s="2" t="s">
        <v>2</v>
      </c>
    </row>
    <row r="496" spans="1:23" ht="24" customHeight="1" x14ac:dyDescent="0.3">
      <c r="A496" s="2" t="s">
        <v>3264</v>
      </c>
      <c r="B496" s="11"/>
      <c r="C496" s="11"/>
      <c r="D496" s="2" t="s">
        <v>1083</v>
      </c>
      <c r="E496" s="2" t="s">
        <v>976</v>
      </c>
      <c r="F496" s="2" t="s">
        <v>3265</v>
      </c>
      <c r="G496" s="2" t="s">
        <v>2</v>
      </c>
      <c r="H496" s="2" t="s">
        <v>2</v>
      </c>
      <c r="I496" s="2" t="s">
        <v>27</v>
      </c>
      <c r="J496" s="2" t="s">
        <v>2</v>
      </c>
      <c r="K496" s="3">
        <v>0</v>
      </c>
      <c r="L496" s="3">
        <v>0</v>
      </c>
      <c r="M496" s="3">
        <v>3</v>
      </c>
      <c r="N496" s="3">
        <v>0</v>
      </c>
      <c r="O496" s="4">
        <v>0</v>
      </c>
      <c r="P496" s="4">
        <v>0</v>
      </c>
      <c r="Q496" s="4">
        <v>13.2</v>
      </c>
      <c r="R496" s="4">
        <v>0</v>
      </c>
      <c r="S496" s="4">
        <v>37.799999999999997</v>
      </c>
      <c r="T496" s="2" t="s">
        <v>2</v>
      </c>
      <c r="U496" s="2" t="s">
        <v>3266</v>
      </c>
      <c r="V496" s="2" t="s">
        <v>2</v>
      </c>
      <c r="W496" s="2" t="s">
        <v>2</v>
      </c>
    </row>
    <row r="497" spans="1:23" ht="24" customHeight="1" x14ac:dyDescent="0.3">
      <c r="A497" s="2" t="s">
        <v>3267</v>
      </c>
      <c r="B497" s="11"/>
      <c r="C497" s="11"/>
      <c r="D497" s="2" t="s">
        <v>3268</v>
      </c>
      <c r="E497" s="2" t="s">
        <v>3269</v>
      </c>
      <c r="F497" s="2" t="s">
        <v>3270</v>
      </c>
      <c r="G497" s="2" t="s">
        <v>2</v>
      </c>
      <c r="H497" s="2" t="s">
        <v>2</v>
      </c>
      <c r="I497" s="2" t="s">
        <v>2</v>
      </c>
      <c r="J497" s="2" t="s">
        <v>28</v>
      </c>
      <c r="K497" s="3">
        <v>0</v>
      </c>
      <c r="L497" s="3">
        <v>0</v>
      </c>
      <c r="M497" s="3">
        <v>0</v>
      </c>
      <c r="N497" s="3">
        <v>4</v>
      </c>
      <c r="O497" s="4">
        <v>0</v>
      </c>
      <c r="P497" s="4">
        <v>0</v>
      </c>
      <c r="Q497" s="4">
        <v>0</v>
      </c>
      <c r="R497" s="4">
        <v>6.3</v>
      </c>
      <c r="S497" s="4">
        <v>772</v>
      </c>
      <c r="T497" s="2" t="s">
        <v>2</v>
      </c>
      <c r="U497" s="2" t="s">
        <v>3271</v>
      </c>
      <c r="V497" s="2" t="s">
        <v>2</v>
      </c>
      <c r="W497" s="2" t="s">
        <v>2</v>
      </c>
    </row>
    <row r="498" spans="1:23" ht="24" customHeight="1" x14ac:dyDescent="0.3">
      <c r="A498" s="2" t="s">
        <v>3272</v>
      </c>
      <c r="B498" s="11"/>
      <c r="C498" s="11"/>
      <c r="D498" s="2" t="s">
        <v>3273</v>
      </c>
      <c r="E498" s="2" t="s">
        <v>3274</v>
      </c>
      <c r="F498" s="2" t="s">
        <v>3275</v>
      </c>
      <c r="G498" s="2" t="s">
        <v>2</v>
      </c>
      <c r="H498" s="2" t="s">
        <v>2</v>
      </c>
      <c r="I498" s="2" t="s">
        <v>2</v>
      </c>
      <c r="J498" s="2" t="s">
        <v>28</v>
      </c>
      <c r="K498" s="3">
        <v>0</v>
      </c>
      <c r="L498" s="3">
        <v>0</v>
      </c>
      <c r="M498" s="3">
        <v>0</v>
      </c>
      <c r="N498" s="3">
        <v>2</v>
      </c>
      <c r="O498" s="4">
        <v>0</v>
      </c>
      <c r="P498" s="4">
        <v>0</v>
      </c>
      <c r="Q498" s="4">
        <v>0</v>
      </c>
      <c r="R498" s="4">
        <v>24.4</v>
      </c>
      <c r="S498" s="4">
        <v>11268.3</v>
      </c>
      <c r="T498" s="2" t="s">
        <v>3276</v>
      </c>
      <c r="U498" s="2" t="s">
        <v>962</v>
      </c>
      <c r="V498" s="2" t="s">
        <v>2</v>
      </c>
      <c r="W498" s="2" t="s">
        <v>2</v>
      </c>
    </row>
    <row r="499" spans="1:23" ht="24" customHeight="1" x14ac:dyDescent="0.3">
      <c r="A499" s="2" t="s">
        <v>3277</v>
      </c>
      <c r="B499" s="11"/>
      <c r="C499" s="11"/>
      <c r="D499" s="2" t="s">
        <v>3278</v>
      </c>
      <c r="E499" s="2" t="s">
        <v>3279</v>
      </c>
      <c r="F499" s="2" t="s">
        <v>3280</v>
      </c>
      <c r="G499" s="2" t="s">
        <v>2</v>
      </c>
      <c r="H499" s="2" t="s">
        <v>2</v>
      </c>
      <c r="I499" s="2" t="s">
        <v>27</v>
      </c>
      <c r="J499" s="2" t="s">
        <v>2</v>
      </c>
      <c r="K499" s="3">
        <v>0</v>
      </c>
      <c r="L499" s="3">
        <v>0</v>
      </c>
      <c r="M499" s="3">
        <v>4</v>
      </c>
      <c r="N499" s="3">
        <v>0</v>
      </c>
      <c r="O499" s="4">
        <v>0</v>
      </c>
      <c r="P499" s="4">
        <v>0</v>
      </c>
      <c r="Q499" s="4">
        <v>19.3</v>
      </c>
      <c r="R499" s="4">
        <v>0</v>
      </c>
      <c r="S499" s="4">
        <v>449.5</v>
      </c>
      <c r="T499" s="2" t="s">
        <v>3281</v>
      </c>
      <c r="U499" s="2" t="s">
        <v>3282</v>
      </c>
      <c r="V499" s="2" t="s">
        <v>2</v>
      </c>
      <c r="W499" s="2" t="s">
        <v>2</v>
      </c>
    </row>
    <row r="500" spans="1:23" ht="24" customHeight="1" x14ac:dyDescent="0.3">
      <c r="A500" s="2" t="s">
        <v>3283</v>
      </c>
      <c r="B500" s="11"/>
      <c r="C500" s="11"/>
      <c r="D500" s="2" t="s">
        <v>3284</v>
      </c>
      <c r="E500" s="2" t="s">
        <v>3285</v>
      </c>
      <c r="F500" s="2" t="s">
        <v>3286</v>
      </c>
      <c r="G500" s="2" t="s">
        <v>2</v>
      </c>
      <c r="H500" s="2" t="s">
        <v>2</v>
      </c>
      <c r="I500" s="2" t="s">
        <v>2</v>
      </c>
      <c r="J500" s="2" t="s">
        <v>28</v>
      </c>
      <c r="K500" s="3">
        <v>0</v>
      </c>
      <c r="L500" s="3">
        <v>0</v>
      </c>
      <c r="M500" s="3">
        <v>0</v>
      </c>
      <c r="N500" s="3">
        <v>2</v>
      </c>
      <c r="O500" s="4">
        <v>0</v>
      </c>
      <c r="P500" s="4">
        <v>0</v>
      </c>
      <c r="Q500" s="4">
        <v>0</v>
      </c>
      <c r="R500" s="4">
        <v>2.4</v>
      </c>
      <c r="S500" s="4">
        <v>0</v>
      </c>
      <c r="T500" s="2" t="s">
        <v>2</v>
      </c>
      <c r="U500" s="2" t="s">
        <v>3287</v>
      </c>
      <c r="V500" s="2" t="s">
        <v>2</v>
      </c>
      <c r="W500" s="2" t="s">
        <v>2</v>
      </c>
    </row>
    <row r="501" spans="1:23" ht="24" customHeight="1" x14ac:dyDescent="0.3">
      <c r="A501" s="2" t="s">
        <v>3288</v>
      </c>
      <c r="B501" s="11"/>
      <c r="C501" s="11"/>
      <c r="D501" s="2" t="s">
        <v>3289</v>
      </c>
      <c r="E501" s="2" t="s">
        <v>3290</v>
      </c>
      <c r="F501" s="2" t="s">
        <v>3291</v>
      </c>
      <c r="G501" s="2" t="s">
        <v>2</v>
      </c>
      <c r="H501" s="2" t="s">
        <v>2</v>
      </c>
      <c r="I501" s="2" t="s">
        <v>27</v>
      </c>
      <c r="J501" s="2" t="s">
        <v>28</v>
      </c>
      <c r="K501" s="3">
        <v>0</v>
      </c>
      <c r="L501" s="3">
        <v>0</v>
      </c>
      <c r="M501" s="3">
        <v>5</v>
      </c>
      <c r="N501" s="3">
        <v>2</v>
      </c>
      <c r="O501" s="4">
        <v>0</v>
      </c>
      <c r="P501" s="4">
        <v>0</v>
      </c>
      <c r="Q501" s="4">
        <v>70.3</v>
      </c>
      <c r="R501" s="4">
        <v>40</v>
      </c>
      <c r="S501" s="4">
        <v>33888.400000000001</v>
      </c>
      <c r="T501" s="2" t="s">
        <v>3292</v>
      </c>
      <c r="U501" s="2" t="s">
        <v>3293</v>
      </c>
      <c r="V501" s="2" t="s">
        <v>2</v>
      </c>
      <c r="W501" s="2" t="s">
        <v>2</v>
      </c>
    </row>
    <row r="502" spans="1:23" ht="24" customHeight="1" x14ac:dyDescent="0.3">
      <c r="A502" s="2" t="s">
        <v>3294</v>
      </c>
      <c r="B502" s="11"/>
      <c r="C502" s="11"/>
      <c r="D502" s="2" t="s">
        <v>3295</v>
      </c>
      <c r="E502" s="2" t="s">
        <v>3296</v>
      </c>
      <c r="F502" s="2" t="s">
        <v>3297</v>
      </c>
      <c r="G502" s="2" t="s">
        <v>2</v>
      </c>
      <c r="H502" s="2" t="s">
        <v>2</v>
      </c>
      <c r="I502" s="2" t="s">
        <v>27</v>
      </c>
      <c r="J502" s="2" t="s">
        <v>28</v>
      </c>
      <c r="K502" s="3">
        <v>0</v>
      </c>
      <c r="L502" s="3">
        <v>0</v>
      </c>
      <c r="M502" s="3">
        <v>2</v>
      </c>
      <c r="N502" s="3">
        <v>2</v>
      </c>
      <c r="O502" s="4">
        <v>0</v>
      </c>
      <c r="P502" s="4">
        <v>0</v>
      </c>
      <c r="Q502" s="4">
        <v>12</v>
      </c>
      <c r="R502" s="4">
        <v>18</v>
      </c>
      <c r="S502" s="4">
        <v>0</v>
      </c>
      <c r="T502" s="2" t="s">
        <v>3298</v>
      </c>
      <c r="U502" s="2" t="s">
        <v>3299</v>
      </c>
      <c r="V502" s="2" t="s">
        <v>2</v>
      </c>
      <c r="W502" s="2" t="s">
        <v>2</v>
      </c>
    </row>
    <row r="503" spans="1:23" ht="24" customHeight="1" x14ac:dyDescent="0.3">
      <c r="A503" s="2" t="s">
        <v>3300</v>
      </c>
      <c r="B503" s="11"/>
      <c r="C503" s="11"/>
      <c r="D503" s="2" t="s">
        <v>3301</v>
      </c>
      <c r="E503" s="2" t="s">
        <v>3302</v>
      </c>
      <c r="F503" s="2" t="s">
        <v>3303</v>
      </c>
      <c r="G503" s="2" t="s">
        <v>2</v>
      </c>
      <c r="H503" s="2" t="s">
        <v>2</v>
      </c>
      <c r="I503" s="2" t="s">
        <v>27</v>
      </c>
      <c r="J503" s="2" t="s">
        <v>2</v>
      </c>
      <c r="K503" s="3">
        <v>0</v>
      </c>
      <c r="L503" s="3">
        <v>0</v>
      </c>
      <c r="M503" s="3">
        <v>5</v>
      </c>
      <c r="N503" s="3">
        <v>0</v>
      </c>
      <c r="O503" s="4">
        <v>0</v>
      </c>
      <c r="P503" s="4">
        <v>0</v>
      </c>
      <c r="Q503" s="4">
        <v>26.6</v>
      </c>
      <c r="R503" s="4">
        <v>0</v>
      </c>
      <c r="S503" s="4">
        <v>0</v>
      </c>
      <c r="T503" s="2" t="s">
        <v>3304</v>
      </c>
      <c r="U503" s="2" t="s">
        <v>3305</v>
      </c>
      <c r="V503" s="2" t="s">
        <v>2</v>
      </c>
      <c r="W503" s="2" t="s">
        <v>2</v>
      </c>
    </row>
    <row r="504" spans="1:23" ht="24" customHeight="1" x14ac:dyDescent="0.3">
      <c r="A504" s="2" t="s">
        <v>3306</v>
      </c>
      <c r="B504" s="11"/>
      <c r="C504" s="11"/>
      <c r="D504" s="2" t="s">
        <v>3307</v>
      </c>
      <c r="E504" s="2" t="s">
        <v>3308</v>
      </c>
      <c r="F504" s="2" t="s">
        <v>3309</v>
      </c>
      <c r="G504" s="2" t="s">
        <v>2</v>
      </c>
      <c r="H504" s="2" t="s">
        <v>2</v>
      </c>
      <c r="I504" s="2" t="s">
        <v>27</v>
      </c>
      <c r="J504" s="2" t="s">
        <v>2</v>
      </c>
      <c r="K504" s="3">
        <v>0</v>
      </c>
      <c r="L504" s="3">
        <v>0</v>
      </c>
      <c r="M504" s="3">
        <v>15</v>
      </c>
      <c r="N504" s="3">
        <v>0</v>
      </c>
      <c r="O504" s="4">
        <v>0</v>
      </c>
      <c r="P504" s="4">
        <v>0</v>
      </c>
      <c r="Q504" s="4">
        <v>50.7</v>
      </c>
      <c r="R504" s="4">
        <v>0</v>
      </c>
      <c r="S504" s="4">
        <v>10436.200000000001</v>
      </c>
      <c r="T504" s="2" t="s">
        <v>3310</v>
      </c>
      <c r="U504" s="2" t="s">
        <v>3311</v>
      </c>
      <c r="V504" s="2" t="s">
        <v>2</v>
      </c>
      <c r="W504" s="2" t="s">
        <v>2</v>
      </c>
    </row>
    <row r="505" spans="1:23" ht="24" customHeight="1" x14ac:dyDescent="0.3">
      <c r="A505" s="2" t="s">
        <v>3312</v>
      </c>
      <c r="B505" s="11"/>
      <c r="C505" s="11"/>
      <c r="D505" s="2" t="s">
        <v>3313</v>
      </c>
      <c r="E505" s="2" t="s">
        <v>3308</v>
      </c>
      <c r="F505" s="2" t="s">
        <v>3309</v>
      </c>
      <c r="G505" s="2" t="s">
        <v>2</v>
      </c>
      <c r="H505" s="2" t="s">
        <v>2</v>
      </c>
      <c r="I505" s="2" t="s">
        <v>2</v>
      </c>
      <c r="J505" s="2" t="s">
        <v>28</v>
      </c>
      <c r="K505" s="3">
        <v>0</v>
      </c>
      <c r="L505" s="3">
        <v>0</v>
      </c>
      <c r="M505" s="3">
        <v>0</v>
      </c>
      <c r="N505" s="3">
        <v>2</v>
      </c>
      <c r="O505" s="4">
        <v>0</v>
      </c>
      <c r="P505" s="4">
        <v>0</v>
      </c>
      <c r="Q505" s="4">
        <v>0</v>
      </c>
      <c r="R505" s="4">
        <v>5.7</v>
      </c>
      <c r="S505" s="4">
        <v>0</v>
      </c>
      <c r="T505" s="2" t="s">
        <v>3310</v>
      </c>
      <c r="U505" s="2" t="s">
        <v>242</v>
      </c>
      <c r="V505" s="2" t="s">
        <v>2</v>
      </c>
      <c r="W505" s="2" t="s">
        <v>2</v>
      </c>
    </row>
    <row r="506" spans="1:23" ht="24" customHeight="1" x14ac:dyDescent="0.3">
      <c r="A506" s="2" t="s">
        <v>3314</v>
      </c>
      <c r="B506" s="11"/>
      <c r="C506" s="11"/>
      <c r="D506" s="2" t="s">
        <v>3315</v>
      </c>
      <c r="E506" s="2" t="s">
        <v>3316</v>
      </c>
      <c r="F506" s="2" t="s">
        <v>3317</v>
      </c>
      <c r="G506" s="2" t="s">
        <v>2</v>
      </c>
      <c r="H506" s="2" t="s">
        <v>2</v>
      </c>
      <c r="I506" s="2" t="s">
        <v>2</v>
      </c>
      <c r="J506" s="2" t="s">
        <v>28</v>
      </c>
      <c r="K506" s="3">
        <v>0</v>
      </c>
      <c r="L506" s="3">
        <v>0</v>
      </c>
      <c r="M506" s="3">
        <v>0</v>
      </c>
      <c r="N506" s="3">
        <v>2</v>
      </c>
      <c r="O506" s="4">
        <v>0</v>
      </c>
      <c r="P506" s="4">
        <v>0</v>
      </c>
      <c r="Q506" s="4">
        <v>0</v>
      </c>
      <c r="R506" s="4">
        <v>3.1</v>
      </c>
      <c r="S506" s="4">
        <v>0</v>
      </c>
      <c r="T506" s="2" t="s">
        <v>2</v>
      </c>
      <c r="U506" s="2" t="s">
        <v>3318</v>
      </c>
      <c r="V506" s="2" t="s">
        <v>2</v>
      </c>
      <c r="W506" s="2" t="s">
        <v>2</v>
      </c>
    </row>
    <row r="507" spans="1:23" ht="24" customHeight="1" x14ac:dyDescent="0.3">
      <c r="A507" s="2" t="s">
        <v>3319</v>
      </c>
      <c r="B507" s="11"/>
      <c r="C507" s="11"/>
      <c r="D507" s="2" t="s">
        <v>3320</v>
      </c>
      <c r="E507" s="2" t="s">
        <v>3321</v>
      </c>
      <c r="F507" s="2" t="s">
        <v>3322</v>
      </c>
      <c r="G507" s="2" t="s">
        <v>2</v>
      </c>
      <c r="H507" s="2" t="s">
        <v>2</v>
      </c>
      <c r="I507" s="2" t="s">
        <v>27</v>
      </c>
      <c r="J507" s="2" t="s">
        <v>2</v>
      </c>
      <c r="K507" s="3">
        <v>0</v>
      </c>
      <c r="L507" s="3">
        <v>0</v>
      </c>
      <c r="M507" s="3">
        <v>2</v>
      </c>
      <c r="N507" s="3">
        <v>0</v>
      </c>
      <c r="O507" s="4">
        <v>0</v>
      </c>
      <c r="P507" s="4">
        <v>0</v>
      </c>
      <c r="Q507" s="4">
        <v>5.8</v>
      </c>
      <c r="R507" s="4">
        <v>0</v>
      </c>
      <c r="S507" s="4">
        <v>0</v>
      </c>
      <c r="T507" s="2" t="s">
        <v>2</v>
      </c>
      <c r="U507" s="2" t="s">
        <v>3299</v>
      </c>
      <c r="V507" s="2" t="s">
        <v>2</v>
      </c>
      <c r="W507" s="2" t="s">
        <v>2</v>
      </c>
    </row>
    <row r="508" spans="1:23" ht="24" customHeight="1" x14ac:dyDescent="0.3">
      <c r="A508" s="2" t="s">
        <v>3323</v>
      </c>
      <c r="B508" s="11"/>
      <c r="C508" s="11"/>
      <c r="D508" s="2" t="s">
        <v>3324</v>
      </c>
      <c r="E508" s="2" t="s">
        <v>3325</v>
      </c>
      <c r="F508" s="2" t="s">
        <v>3326</v>
      </c>
      <c r="G508" s="2" t="s">
        <v>2</v>
      </c>
      <c r="H508" s="2" t="s">
        <v>2</v>
      </c>
      <c r="I508" s="2" t="s">
        <v>2</v>
      </c>
      <c r="J508" s="2" t="s">
        <v>28</v>
      </c>
      <c r="K508" s="3">
        <v>0</v>
      </c>
      <c r="L508" s="3">
        <v>0</v>
      </c>
      <c r="M508" s="3">
        <v>0</v>
      </c>
      <c r="N508" s="3">
        <v>2</v>
      </c>
      <c r="O508" s="4">
        <v>0</v>
      </c>
      <c r="P508" s="4">
        <v>0</v>
      </c>
      <c r="Q508" s="4">
        <v>0</v>
      </c>
      <c r="R508" s="4">
        <v>2.9</v>
      </c>
      <c r="S508" s="4">
        <v>0</v>
      </c>
      <c r="T508" s="2" t="s">
        <v>2</v>
      </c>
      <c r="U508" s="2" t="s">
        <v>995</v>
      </c>
      <c r="V508" s="2" t="s">
        <v>2</v>
      </c>
      <c r="W508" s="2" t="s">
        <v>2</v>
      </c>
    </row>
    <row r="509" spans="1:23" ht="24" customHeight="1" x14ac:dyDescent="0.3">
      <c r="A509" s="2" t="s">
        <v>3327</v>
      </c>
      <c r="B509" s="11"/>
      <c r="C509" s="11"/>
      <c r="D509" s="2" t="s">
        <v>3328</v>
      </c>
      <c r="E509" s="2" t="s">
        <v>3329</v>
      </c>
      <c r="F509" s="2" t="s">
        <v>3330</v>
      </c>
      <c r="G509" s="2" t="s">
        <v>2</v>
      </c>
      <c r="H509" s="2" t="s">
        <v>2</v>
      </c>
      <c r="I509" s="2" t="s">
        <v>2</v>
      </c>
      <c r="J509" s="2" t="s">
        <v>3331</v>
      </c>
      <c r="K509" s="3">
        <v>0</v>
      </c>
      <c r="L509" s="3">
        <v>0</v>
      </c>
      <c r="M509" s="3">
        <v>0</v>
      </c>
      <c r="N509" s="3">
        <v>2</v>
      </c>
      <c r="O509" s="4">
        <v>0</v>
      </c>
      <c r="P509" s="4">
        <v>0</v>
      </c>
      <c r="Q509" s="4">
        <v>0</v>
      </c>
      <c r="R509" s="4">
        <v>2.9</v>
      </c>
      <c r="S509" s="4">
        <v>0</v>
      </c>
      <c r="T509" s="2" t="s">
        <v>3332</v>
      </c>
      <c r="U509" s="2" t="s">
        <v>647</v>
      </c>
      <c r="V509" s="2" t="s">
        <v>1261</v>
      </c>
      <c r="W509" s="2" t="s">
        <v>2</v>
      </c>
    </row>
    <row r="510" spans="1:23" ht="24" customHeight="1" x14ac:dyDescent="0.3">
      <c r="A510" s="2" t="s">
        <v>3333</v>
      </c>
      <c r="B510" s="11"/>
      <c r="C510" s="11" t="s">
        <v>68</v>
      </c>
      <c r="D510" s="2" t="s">
        <v>3334</v>
      </c>
      <c r="E510" s="2" t="s">
        <v>3335</v>
      </c>
      <c r="F510" s="2" t="s">
        <v>3336</v>
      </c>
      <c r="G510" s="2" t="s">
        <v>2</v>
      </c>
      <c r="H510" s="2" t="s">
        <v>2</v>
      </c>
      <c r="I510" s="2" t="s">
        <v>2</v>
      </c>
      <c r="J510" s="2" t="s">
        <v>3337</v>
      </c>
      <c r="K510" s="3">
        <v>0</v>
      </c>
      <c r="L510" s="3">
        <v>0</v>
      </c>
      <c r="M510" s="3">
        <v>0</v>
      </c>
      <c r="N510" s="3">
        <v>2</v>
      </c>
      <c r="O510" s="4">
        <v>0</v>
      </c>
      <c r="P510" s="4">
        <v>0</v>
      </c>
      <c r="Q510" s="4">
        <v>0</v>
      </c>
      <c r="R510" s="4">
        <v>6</v>
      </c>
      <c r="S510" s="4">
        <v>0</v>
      </c>
      <c r="T510" s="2" t="s">
        <v>2</v>
      </c>
      <c r="U510" s="2" t="s">
        <v>3338</v>
      </c>
      <c r="V510" s="2" t="s">
        <v>2</v>
      </c>
      <c r="W510" s="2" t="s">
        <v>2</v>
      </c>
    </row>
    <row r="511" spans="1:23" ht="24" customHeight="1" x14ac:dyDescent="0.3">
      <c r="A511" s="2" t="s">
        <v>3339</v>
      </c>
      <c r="B511" s="11"/>
      <c r="C511" s="11"/>
      <c r="D511" s="2" t="s">
        <v>3340</v>
      </c>
      <c r="E511" s="2" t="s">
        <v>3341</v>
      </c>
      <c r="F511" s="2" t="s">
        <v>3342</v>
      </c>
      <c r="G511" s="2" t="s">
        <v>2</v>
      </c>
      <c r="H511" s="2" t="s">
        <v>2</v>
      </c>
      <c r="I511" s="2" t="s">
        <v>3343</v>
      </c>
      <c r="J511" s="2" t="s">
        <v>2</v>
      </c>
      <c r="K511" s="3">
        <v>0</v>
      </c>
      <c r="L511" s="3">
        <v>0</v>
      </c>
      <c r="M511" s="3">
        <v>3</v>
      </c>
      <c r="N511" s="3">
        <v>0</v>
      </c>
      <c r="O511" s="4">
        <v>0</v>
      </c>
      <c r="P511" s="4">
        <v>0</v>
      </c>
      <c r="Q511" s="4">
        <v>27.5</v>
      </c>
      <c r="R511" s="4">
        <v>0</v>
      </c>
      <c r="S511" s="4">
        <v>0</v>
      </c>
      <c r="T511" s="2" t="s">
        <v>3344</v>
      </c>
      <c r="U511" s="2" t="s">
        <v>3345</v>
      </c>
      <c r="V511" s="2" t="s">
        <v>2</v>
      </c>
      <c r="W511" s="2" t="s">
        <v>2</v>
      </c>
    </row>
    <row r="512" spans="1:23" ht="24" customHeight="1" x14ac:dyDescent="0.3">
      <c r="A512" s="2" t="s">
        <v>3346</v>
      </c>
      <c r="B512" s="11"/>
      <c r="C512" s="11"/>
      <c r="D512" s="2" t="s">
        <v>3347</v>
      </c>
      <c r="E512" s="2" t="s">
        <v>3348</v>
      </c>
      <c r="F512" s="2" t="s">
        <v>3349</v>
      </c>
      <c r="G512" s="2" t="s">
        <v>2</v>
      </c>
      <c r="H512" s="2" t="s">
        <v>2</v>
      </c>
      <c r="I512" s="2" t="s">
        <v>3343</v>
      </c>
      <c r="J512" s="2" t="s">
        <v>2</v>
      </c>
      <c r="K512" s="3">
        <v>0</v>
      </c>
      <c r="L512" s="3">
        <v>0</v>
      </c>
      <c r="M512" s="3">
        <v>4</v>
      </c>
      <c r="N512" s="3">
        <v>0</v>
      </c>
      <c r="O512" s="4">
        <v>0</v>
      </c>
      <c r="P512" s="4">
        <v>0</v>
      </c>
      <c r="Q512" s="4">
        <v>1068.4000000000001</v>
      </c>
      <c r="R512" s="4">
        <v>0</v>
      </c>
      <c r="S512" s="4">
        <v>0</v>
      </c>
      <c r="T512" s="2" t="s">
        <v>3350</v>
      </c>
      <c r="U512" s="2" t="s">
        <v>3351</v>
      </c>
      <c r="V512" s="2" t="s">
        <v>2</v>
      </c>
      <c r="W512" s="2" t="s">
        <v>2</v>
      </c>
    </row>
    <row r="513" spans="1:23" ht="24" customHeight="1" x14ac:dyDescent="0.3">
      <c r="A513" s="2" t="s">
        <v>3352</v>
      </c>
      <c r="B513" s="11"/>
      <c r="C513" s="11"/>
      <c r="D513" s="2" t="s">
        <v>3353</v>
      </c>
      <c r="E513" s="2" t="s">
        <v>3354</v>
      </c>
      <c r="F513" s="2" t="s">
        <v>3355</v>
      </c>
      <c r="G513" s="2" t="s">
        <v>2</v>
      </c>
      <c r="H513" s="2" t="s">
        <v>2</v>
      </c>
      <c r="I513" s="2" t="s">
        <v>2</v>
      </c>
      <c r="J513" s="2" t="s">
        <v>3356</v>
      </c>
      <c r="K513" s="3">
        <v>0</v>
      </c>
      <c r="L513" s="3">
        <v>0</v>
      </c>
      <c r="M513" s="3">
        <v>0</v>
      </c>
      <c r="N513" s="3">
        <v>2</v>
      </c>
      <c r="O513" s="4">
        <v>0</v>
      </c>
      <c r="P513" s="4">
        <v>0</v>
      </c>
      <c r="Q513" s="4">
        <v>0</v>
      </c>
      <c r="R513" s="4">
        <v>49.5</v>
      </c>
      <c r="S513" s="4">
        <v>0</v>
      </c>
      <c r="T513" s="2" t="s">
        <v>3357</v>
      </c>
      <c r="U513" s="2" t="s">
        <v>3358</v>
      </c>
      <c r="V513" s="2" t="s">
        <v>2</v>
      </c>
      <c r="W513" s="2" t="s">
        <v>2</v>
      </c>
    </row>
    <row r="514" spans="1:23" ht="24" customHeight="1" x14ac:dyDescent="0.3">
      <c r="A514" s="2" t="s">
        <v>3359</v>
      </c>
      <c r="B514" s="11"/>
      <c r="C514" s="11"/>
      <c r="D514" s="2" t="s">
        <v>3360</v>
      </c>
      <c r="E514" s="2" t="s">
        <v>3361</v>
      </c>
      <c r="F514" s="2" t="s">
        <v>3362</v>
      </c>
      <c r="G514" s="2" t="s">
        <v>63</v>
      </c>
      <c r="H514" s="2" t="s">
        <v>196</v>
      </c>
      <c r="I514" s="2" t="s">
        <v>2</v>
      </c>
      <c r="J514" s="2" t="s">
        <v>2</v>
      </c>
      <c r="K514" s="3">
        <v>2</v>
      </c>
      <c r="L514" s="3">
        <v>1</v>
      </c>
      <c r="M514" s="3">
        <v>0</v>
      </c>
      <c r="N514" s="3">
        <v>0</v>
      </c>
      <c r="O514" s="4">
        <v>28</v>
      </c>
      <c r="P514" s="4">
        <v>6</v>
      </c>
      <c r="Q514" s="4">
        <v>0</v>
      </c>
      <c r="R514" s="4">
        <v>0</v>
      </c>
      <c r="S514" s="4">
        <v>0</v>
      </c>
      <c r="T514" s="2" t="s">
        <v>3363</v>
      </c>
      <c r="U514" s="2" t="s">
        <v>3364</v>
      </c>
      <c r="V514" s="2" t="s">
        <v>2</v>
      </c>
      <c r="W514" s="2" t="s">
        <v>2</v>
      </c>
    </row>
    <row r="515" spans="1:23" ht="24" customHeight="1" x14ac:dyDescent="0.3">
      <c r="A515" s="2" t="s">
        <v>3365</v>
      </c>
      <c r="B515" s="11"/>
      <c r="C515" s="11"/>
      <c r="D515" s="2" t="s">
        <v>3366</v>
      </c>
      <c r="E515" s="2" t="s">
        <v>3367</v>
      </c>
      <c r="F515" s="2" t="s">
        <v>3368</v>
      </c>
      <c r="G515" s="2" t="s">
        <v>2</v>
      </c>
      <c r="H515" s="2" t="s">
        <v>2</v>
      </c>
      <c r="I515" s="2" t="s">
        <v>2</v>
      </c>
      <c r="J515" s="2" t="s">
        <v>3337</v>
      </c>
      <c r="K515" s="3">
        <v>0</v>
      </c>
      <c r="L515" s="3">
        <v>0</v>
      </c>
      <c r="M515" s="3">
        <v>0</v>
      </c>
      <c r="N515" s="3">
        <v>2</v>
      </c>
      <c r="O515" s="4">
        <v>0</v>
      </c>
      <c r="P515" s="4">
        <v>0</v>
      </c>
      <c r="Q515" s="4">
        <v>0</v>
      </c>
      <c r="R515" s="4">
        <v>20.6</v>
      </c>
      <c r="S515" s="4">
        <v>0</v>
      </c>
      <c r="T515" s="2" t="s">
        <v>2</v>
      </c>
      <c r="U515" s="2" t="s">
        <v>960</v>
      </c>
      <c r="V515" s="2" t="s">
        <v>2</v>
      </c>
      <c r="W515" s="2" t="s">
        <v>2</v>
      </c>
    </row>
    <row r="516" spans="1:23" ht="24" customHeight="1" x14ac:dyDescent="0.3">
      <c r="A516" s="2" t="s">
        <v>3369</v>
      </c>
      <c r="B516" s="11"/>
      <c r="C516" s="11"/>
      <c r="D516" s="2" t="s">
        <v>3370</v>
      </c>
      <c r="E516" s="2" t="s">
        <v>3371</v>
      </c>
      <c r="F516" s="2" t="s">
        <v>3372</v>
      </c>
      <c r="G516" s="2" t="s">
        <v>63</v>
      </c>
      <c r="H516" s="2" t="s">
        <v>196</v>
      </c>
      <c r="I516" s="2" t="s">
        <v>2</v>
      </c>
      <c r="J516" s="2" t="s">
        <v>2</v>
      </c>
      <c r="K516" s="3">
        <v>2</v>
      </c>
      <c r="L516" s="3">
        <v>2</v>
      </c>
      <c r="M516" s="3">
        <v>0</v>
      </c>
      <c r="N516" s="3">
        <v>0</v>
      </c>
      <c r="O516" s="4">
        <v>16</v>
      </c>
      <c r="P516" s="4">
        <v>16.5</v>
      </c>
      <c r="Q516" s="4">
        <v>0</v>
      </c>
      <c r="R516" s="4">
        <v>0</v>
      </c>
      <c r="S516" s="4">
        <v>2821.1</v>
      </c>
      <c r="T516" s="2" t="s">
        <v>3373</v>
      </c>
      <c r="U516" s="2" t="s">
        <v>3374</v>
      </c>
      <c r="V516" s="2" t="s">
        <v>2</v>
      </c>
      <c r="W516" s="2" t="s">
        <v>2</v>
      </c>
    </row>
  </sheetData>
  <autoFilter ref="A5:W5" xr:uid="{00000000-0009-0000-0000-000007000000}"/>
  <mergeCells count="27">
    <mergeCell ref="B6:B516"/>
    <mergeCell ref="C6"/>
    <mergeCell ref="C7:C43"/>
    <mergeCell ref="C44:C72"/>
    <mergeCell ref="C73:C96"/>
    <mergeCell ref="C97:C138"/>
    <mergeCell ref="C139:C276"/>
    <mergeCell ref="C277:C307"/>
    <mergeCell ref="C308:C345"/>
    <mergeCell ref="C346:C492"/>
    <mergeCell ref="C493:C509"/>
    <mergeCell ref="C510:C516"/>
    <mergeCell ref="A1:W1"/>
    <mergeCell ref="A2:W2"/>
    <mergeCell ref="A4:A5"/>
    <mergeCell ref="B4:B5"/>
    <mergeCell ref="C4:C5"/>
    <mergeCell ref="D4:D5"/>
    <mergeCell ref="E4:E5"/>
    <mergeCell ref="F4:F5"/>
    <mergeCell ref="G4:J4"/>
    <mergeCell ref="K4:N4"/>
    <mergeCell ref="O4:R4"/>
    <mergeCell ref="T4:T5"/>
    <mergeCell ref="U4:U5"/>
    <mergeCell ref="V4:V5"/>
    <mergeCell ref="W4:W5"/>
  </mergeCells>
  <phoneticPr fontId="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15"/>
  <sheetViews>
    <sheetView workbookViewId="0">
      <selection activeCell="A2" sqref="A2:M2"/>
    </sheetView>
  </sheetViews>
  <sheetFormatPr defaultRowHeight="16.5" x14ac:dyDescent="0.3"/>
  <cols>
    <col min="1" max="1" width="6" customWidth="1"/>
    <col min="2" max="3" width="12.625" customWidth="1"/>
    <col min="4" max="4" width="20.75" customWidth="1"/>
    <col min="5" max="5" width="13.375" customWidth="1"/>
    <col min="6" max="6" width="22.25" customWidth="1"/>
    <col min="7" max="8" width="26.75" customWidth="1"/>
    <col min="9" max="9" width="12.75" customWidth="1"/>
    <col min="10" max="10" width="26.75" customWidth="1"/>
    <col min="11" max="13" width="11.875" customWidth="1"/>
  </cols>
  <sheetData>
    <row r="1" spans="1:13" ht="18.75" x14ac:dyDescent="0.3">
      <c r="A1" s="8" t="s">
        <v>625</v>
      </c>
      <c r="B1" s="8"/>
      <c r="C1" s="8"/>
      <c r="D1" s="8"/>
      <c r="E1" s="8"/>
      <c r="F1" s="8"/>
      <c r="G1" s="8"/>
      <c r="H1" s="8"/>
      <c r="I1" s="8"/>
      <c r="J1" s="8"/>
      <c r="K1" s="8"/>
      <c r="L1" s="8"/>
      <c r="M1" s="8"/>
    </row>
    <row r="2" spans="1:13" x14ac:dyDescent="0.3">
      <c r="A2" s="9" t="s">
        <v>3675</v>
      </c>
      <c r="B2" s="9"/>
      <c r="C2" s="9"/>
      <c r="D2" s="9"/>
      <c r="E2" s="9"/>
      <c r="F2" s="9"/>
      <c r="G2" s="9"/>
      <c r="H2" s="9"/>
      <c r="I2" s="9"/>
      <c r="J2" s="9"/>
      <c r="K2" s="9"/>
      <c r="L2" s="9"/>
      <c r="M2" s="9"/>
    </row>
    <row r="3" spans="1:13" x14ac:dyDescent="0.3">
      <c r="A3" s="5"/>
      <c r="B3" s="5"/>
      <c r="C3" s="5"/>
      <c r="D3" s="5"/>
      <c r="E3" s="5"/>
      <c r="F3" s="5"/>
      <c r="G3" s="5"/>
      <c r="H3" s="5"/>
      <c r="I3" s="5"/>
      <c r="J3" s="5"/>
      <c r="K3" s="5"/>
      <c r="L3" s="5"/>
      <c r="M3" s="5" t="s">
        <v>2</v>
      </c>
    </row>
    <row r="4" spans="1:13" ht="48" customHeight="1" x14ac:dyDescent="0.3">
      <c r="A4" s="1" t="s">
        <v>3</v>
      </c>
      <c r="B4" s="1" t="s">
        <v>4</v>
      </c>
      <c r="C4" s="1" t="s">
        <v>5</v>
      </c>
      <c r="D4" s="1" t="s">
        <v>382</v>
      </c>
      <c r="E4" s="1" t="s">
        <v>383</v>
      </c>
      <c r="F4" s="1" t="s">
        <v>7</v>
      </c>
      <c r="G4" s="1" t="s">
        <v>3676</v>
      </c>
      <c r="H4" s="1" t="s">
        <v>628</v>
      </c>
      <c r="I4" s="1" t="s">
        <v>384</v>
      </c>
      <c r="J4" s="1" t="s">
        <v>630</v>
      </c>
      <c r="K4" s="1" t="s">
        <v>18</v>
      </c>
      <c r="L4" s="1" t="s">
        <v>19</v>
      </c>
      <c r="M4" s="1" t="s">
        <v>22</v>
      </c>
    </row>
    <row r="5" spans="1:13" ht="24" customHeight="1" x14ac:dyDescent="0.3">
      <c r="A5" s="2" t="s">
        <v>3701</v>
      </c>
      <c r="B5" s="11" t="s">
        <v>55</v>
      </c>
      <c r="C5" s="11" t="s">
        <v>40</v>
      </c>
      <c r="D5" s="2" t="s">
        <v>2</v>
      </c>
      <c r="E5" s="2" t="s">
        <v>2</v>
      </c>
      <c r="F5" s="2" t="s">
        <v>2</v>
      </c>
      <c r="G5" s="2" t="s">
        <v>2</v>
      </c>
      <c r="H5" s="3">
        <v>1201</v>
      </c>
      <c r="I5" s="2" t="s">
        <v>2</v>
      </c>
      <c r="J5" s="4">
        <v>6014662</v>
      </c>
      <c r="K5" s="2" t="s">
        <v>2</v>
      </c>
      <c r="L5" s="2" t="s">
        <v>2</v>
      </c>
      <c r="M5" s="2" t="s">
        <v>2</v>
      </c>
    </row>
    <row r="6" spans="1:13" ht="24" customHeight="1" x14ac:dyDescent="0.3">
      <c r="A6" s="2" t="s">
        <v>46</v>
      </c>
      <c r="B6" s="11"/>
      <c r="C6" s="11" t="s">
        <v>182</v>
      </c>
      <c r="D6" s="2" t="s">
        <v>3702</v>
      </c>
      <c r="E6" s="2" t="s">
        <v>1114</v>
      </c>
      <c r="F6" s="2" t="s">
        <v>3703</v>
      </c>
      <c r="G6" s="2" t="s">
        <v>3678</v>
      </c>
      <c r="H6" s="3">
        <v>5</v>
      </c>
      <c r="I6" s="2" t="s">
        <v>1117</v>
      </c>
      <c r="J6" s="4">
        <v>13222</v>
      </c>
      <c r="K6" s="2" t="s">
        <v>3428</v>
      </c>
      <c r="L6" s="2" t="s">
        <v>2</v>
      </c>
      <c r="M6" s="2" t="s">
        <v>2</v>
      </c>
    </row>
    <row r="7" spans="1:13" ht="24" customHeight="1" x14ac:dyDescent="0.3">
      <c r="A7" s="2" t="s">
        <v>49</v>
      </c>
      <c r="B7" s="11"/>
      <c r="C7" s="11"/>
      <c r="D7" s="2" t="s">
        <v>3704</v>
      </c>
      <c r="E7" s="2" t="s">
        <v>1107</v>
      </c>
      <c r="F7" s="2" t="s">
        <v>3705</v>
      </c>
      <c r="G7" s="2" t="s">
        <v>3678</v>
      </c>
      <c r="H7" s="3">
        <v>25</v>
      </c>
      <c r="I7" s="2" t="s">
        <v>1110</v>
      </c>
      <c r="J7" s="4">
        <v>87816</v>
      </c>
      <c r="K7" s="2" t="s">
        <v>3706</v>
      </c>
      <c r="L7" s="2" t="s">
        <v>2</v>
      </c>
      <c r="M7" s="2" t="s">
        <v>2</v>
      </c>
    </row>
    <row r="8" spans="1:13" ht="24" customHeight="1" x14ac:dyDescent="0.3">
      <c r="A8" s="2" t="s">
        <v>50</v>
      </c>
      <c r="B8" s="11"/>
      <c r="C8" s="11"/>
      <c r="D8" s="2" t="s">
        <v>3707</v>
      </c>
      <c r="E8" s="2" t="s">
        <v>1020</v>
      </c>
      <c r="F8" s="2" t="s">
        <v>3708</v>
      </c>
      <c r="G8" s="2" t="s">
        <v>3697</v>
      </c>
      <c r="H8" s="3">
        <v>9</v>
      </c>
      <c r="I8" s="2" t="s">
        <v>3709</v>
      </c>
      <c r="J8" s="4">
        <v>0</v>
      </c>
      <c r="K8" s="2" t="s">
        <v>2598</v>
      </c>
      <c r="L8" s="2" t="s">
        <v>2</v>
      </c>
      <c r="M8" s="2" t="s">
        <v>2</v>
      </c>
    </row>
    <row r="9" spans="1:13" ht="24" customHeight="1" x14ac:dyDescent="0.3">
      <c r="A9" s="2" t="s">
        <v>51</v>
      </c>
      <c r="B9" s="11"/>
      <c r="C9" s="11"/>
      <c r="D9" s="2" t="s">
        <v>3710</v>
      </c>
      <c r="E9" s="2" t="s">
        <v>1273</v>
      </c>
      <c r="F9" s="2" t="s">
        <v>3711</v>
      </c>
      <c r="G9" s="2" t="s">
        <v>3712</v>
      </c>
      <c r="H9" s="3">
        <v>15</v>
      </c>
      <c r="I9" s="2" t="s">
        <v>1276</v>
      </c>
      <c r="J9" s="4">
        <v>85790</v>
      </c>
      <c r="K9" s="2" t="s">
        <v>3655</v>
      </c>
      <c r="L9" s="2" t="s">
        <v>2</v>
      </c>
      <c r="M9" s="2" t="s">
        <v>2</v>
      </c>
    </row>
    <row r="10" spans="1:13" ht="24" customHeight="1" x14ac:dyDescent="0.3">
      <c r="A10" s="2" t="s">
        <v>52</v>
      </c>
      <c r="B10" s="11"/>
      <c r="C10" s="11"/>
      <c r="D10" s="2" t="s">
        <v>3713</v>
      </c>
      <c r="E10" s="2" t="s">
        <v>1140</v>
      </c>
      <c r="F10" s="2" t="s">
        <v>3714</v>
      </c>
      <c r="G10" s="2" t="s">
        <v>3678</v>
      </c>
      <c r="H10" s="3">
        <v>5</v>
      </c>
      <c r="I10" s="2" t="s">
        <v>1143</v>
      </c>
      <c r="J10" s="4">
        <v>37763</v>
      </c>
      <c r="K10" s="2" t="s">
        <v>3690</v>
      </c>
      <c r="L10" s="2" t="s">
        <v>2</v>
      </c>
      <c r="M10" s="2" t="s">
        <v>2</v>
      </c>
    </row>
    <row r="11" spans="1:13" ht="24" customHeight="1" x14ac:dyDescent="0.3">
      <c r="A11" s="2" t="s">
        <v>77</v>
      </c>
      <c r="B11" s="11"/>
      <c r="C11" s="11"/>
      <c r="D11" s="2" t="s">
        <v>3715</v>
      </c>
      <c r="E11" s="2" t="s">
        <v>3716</v>
      </c>
      <c r="F11" s="2" t="s">
        <v>3717</v>
      </c>
      <c r="G11" s="2" t="s">
        <v>3718</v>
      </c>
      <c r="H11" s="3">
        <v>10</v>
      </c>
      <c r="I11" s="2" t="s">
        <v>3719</v>
      </c>
      <c r="J11" s="4">
        <v>81118</v>
      </c>
      <c r="K11" s="2" t="s">
        <v>3720</v>
      </c>
      <c r="L11" s="2" t="s">
        <v>2</v>
      </c>
      <c r="M11" s="2" t="s">
        <v>2</v>
      </c>
    </row>
    <row r="12" spans="1:13" ht="24" customHeight="1" x14ac:dyDescent="0.3">
      <c r="A12" s="2" t="s">
        <v>82</v>
      </c>
      <c r="B12" s="11"/>
      <c r="C12" s="11"/>
      <c r="D12" s="2" t="s">
        <v>3721</v>
      </c>
      <c r="E12" s="2" t="s">
        <v>3722</v>
      </c>
      <c r="F12" s="2" t="s">
        <v>3723</v>
      </c>
      <c r="G12" s="2" t="s">
        <v>3680</v>
      </c>
      <c r="H12" s="3">
        <v>19</v>
      </c>
      <c r="I12" s="2" t="s">
        <v>3724</v>
      </c>
      <c r="J12" s="4">
        <v>146600</v>
      </c>
      <c r="K12" s="2" t="s">
        <v>3479</v>
      </c>
      <c r="L12" s="2" t="s">
        <v>2</v>
      </c>
      <c r="M12" s="2" t="s">
        <v>2</v>
      </c>
    </row>
    <row r="13" spans="1:13" ht="24" customHeight="1" x14ac:dyDescent="0.3">
      <c r="A13" s="2" t="s">
        <v>87</v>
      </c>
      <c r="B13" s="11"/>
      <c r="C13" s="11"/>
      <c r="D13" s="2" t="s">
        <v>3725</v>
      </c>
      <c r="E13" s="2" t="s">
        <v>1085</v>
      </c>
      <c r="F13" s="2" t="s">
        <v>3726</v>
      </c>
      <c r="G13" s="2" t="s">
        <v>3678</v>
      </c>
      <c r="H13" s="3">
        <v>6</v>
      </c>
      <c r="I13" s="2" t="s">
        <v>3727</v>
      </c>
      <c r="J13" s="4">
        <v>33347</v>
      </c>
      <c r="K13" s="2" t="s">
        <v>3728</v>
      </c>
      <c r="L13" s="2" t="s">
        <v>2</v>
      </c>
      <c r="M13" s="2" t="s">
        <v>2</v>
      </c>
    </row>
    <row r="14" spans="1:13" ht="24" customHeight="1" x14ac:dyDescent="0.3">
      <c r="A14" s="2" t="s">
        <v>92</v>
      </c>
      <c r="B14" s="11"/>
      <c r="C14" s="11"/>
      <c r="D14" s="2" t="s">
        <v>3729</v>
      </c>
      <c r="E14" s="2" t="s">
        <v>3730</v>
      </c>
      <c r="F14" s="2" t="s">
        <v>3731</v>
      </c>
      <c r="G14" s="2" t="s">
        <v>3732</v>
      </c>
      <c r="H14" s="3">
        <v>6</v>
      </c>
      <c r="I14" s="2" t="s">
        <v>3733</v>
      </c>
      <c r="J14" s="4">
        <v>35157</v>
      </c>
      <c r="K14" s="2" t="s">
        <v>3706</v>
      </c>
      <c r="L14" s="2" t="s">
        <v>2</v>
      </c>
      <c r="M14" s="2" t="s">
        <v>2</v>
      </c>
    </row>
    <row r="15" spans="1:13" ht="24" customHeight="1" x14ac:dyDescent="0.3">
      <c r="A15" s="2" t="s">
        <v>96</v>
      </c>
      <c r="B15" s="11"/>
      <c r="C15" s="11" t="s">
        <v>193</v>
      </c>
      <c r="D15" s="2" t="s">
        <v>1392</v>
      </c>
      <c r="E15" s="2" t="s">
        <v>1393</v>
      </c>
      <c r="F15" s="2" t="s">
        <v>3734</v>
      </c>
      <c r="G15" s="2" t="s">
        <v>3678</v>
      </c>
      <c r="H15" s="3">
        <v>9</v>
      </c>
      <c r="I15" s="2" t="s">
        <v>1395</v>
      </c>
      <c r="J15" s="4">
        <v>59871</v>
      </c>
      <c r="K15" s="2" t="s">
        <v>1396</v>
      </c>
      <c r="L15" s="2" t="s">
        <v>2</v>
      </c>
      <c r="M15" s="2" t="s">
        <v>2</v>
      </c>
    </row>
    <row r="16" spans="1:13" ht="24" customHeight="1" x14ac:dyDescent="0.3">
      <c r="A16" s="2" t="s">
        <v>102</v>
      </c>
      <c r="B16" s="11"/>
      <c r="C16" s="11"/>
      <c r="D16" s="2" t="s">
        <v>1387</v>
      </c>
      <c r="E16" s="2" t="s">
        <v>1388</v>
      </c>
      <c r="F16" s="2" t="s">
        <v>3735</v>
      </c>
      <c r="G16" s="2" t="s">
        <v>3698</v>
      </c>
      <c r="H16" s="3">
        <v>5</v>
      </c>
      <c r="I16" s="2" t="s">
        <v>1390</v>
      </c>
      <c r="J16" s="4">
        <v>58898</v>
      </c>
      <c r="K16" s="2" t="s">
        <v>1381</v>
      </c>
      <c r="L16" s="2" t="s">
        <v>2</v>
      </c>
      <c r="M16" s="2" t="s">
        <v>2</v>
      </c>
    </row>
    <row r="17" spans="1:13" ht="24" customHeight="1" x14ac:dyDescent="0.3">
      <c r="A17" s="2" t="s">
        <v>104</v>
      </c>
      <c r="B17" s="11"/>
      <c r="C17" s="11"/>
      <c r="D17" s="2" t="s">
        <v>3736</v>
      </c>
      <c r="E17" s="2" t="s">
        <v>3691</v>
      </c>
      <c r="F17" s="2" t="s">
        <v>3737</v>
      </c>
      <c r="G17" s="2" t="s">
        <v>3678</v>
      </c>
      <c r="H17" s="3">
        <v>16</v>
      </c>
      <c r="I17" s="2" t="s">
        <v>3738</v>
      </c>
      <c r="J17" s="4">
        <v>82438</v>
      </c>
      <c r="K17" s="2" t="s">
        <v>3561</v>
      </c>
      <c r="L17" s="2" t="s">
        <v>2</v>
      </c>
      <c r="M17" s="2" t="s">
        <v>2</v>
      </c>
    </row>
    <row r="18" spans="1:13" ht="24" customHeight="1" x14ac:dyDescent="0.3">
      <c r="A18" s="2" t="s">
        <v>105</v>
      </c>
      <c r="B18" s="11"/>
      <c r="C18" s="11"/>
      <c r="D18" s="2" t="s">
        <v>3739</v>
      </c>
      <c r="E18" s="2" t="s">
        <v>3740</v>
      </c>
      <c r="F18" s="2" t="s">
        <v>3741</v>
      </c>
      <c r="G18" s="2" t="s">
        <v>3742</v>
      </c>
      <c r="H18" s="3">
        <v>16</v>
      </c>
      <c r="I18" s="2" t="s">
        <v>3743</v>
      </c>
      <c r="J18" s="4">
        <v>10009</v>
      </c>
      <c r="K18" s="2" t="s">
        <v>3744</v>
      </c>
      <c r="L18" s="2" t="s">
        <v>2</v>
      </c>
      <c r="M18" s="2" t="s">
        <v>2</v>
      </c>
    </row>
    <row r="19" spans="1:13" ht="24" customHeight="1" x14ac:dyDescent="0.3">
      <c r="A19" s="2" t="s">
        <v>106</v>
      </c>
      <c r="B19" s="11"/>
      <c r="C19" s="11"/>
      <c r="D19" s="2" t="s">
        <v>442</v>
      </c>
      <c r="E19" s="2" t="s">
        <v>3745</v>
      </c>
      <c r="F19" s="2" t="s">
        <v>3746</v>
      </c>
      <c r="G19" s="2" t="s">
        <v>3747</v>
      </c>
      <c r="H19" s="3">
        <v>9</v>
      </c>
      <c r="I19" s="2" t="s">
        <v>3748</v>
      </c>
      <c r="J19" s="4">
        <v>50098</v>
      </c>
      <c r="K19" s="2" t="s">
        <v>3749</v>
      </c>
      <c r="L19" s="2" t="s">
        <v>2</v>
      </c>
      <c r="M19" s="2" t="s">
        <v>2</v>
      </c>
    </row>
    <row r="20" spans="1:13" ht="24" customHeight="1" x14ac:dyDescent="0.3">
      <c r="A20" s="2" t="s">
        <v>107</v>
      </c>
      <c r="B20" s="11"/>
      <c r="C20" s="11" t="s">
        <v>603</v>
      </c>
      <c r="D20" s="2" t="s">
        <v>3750</v>
      </c>
      <c r="E20" s="2" t="s">
        <v>3751</v>
      </c>
      <c r="F20" s="2" t="s">
        <v>3752</v>
      </c>
      <c r="G20" s="2" t="s">
        <v>3753</v>
      </c>
      <c r="H20" s="3">
        <v>3</v>
      </c>
      <c r="I20" s="2" t="s">
        <v>3754</v>
      </c>
      <c r="J20" s="4">
        <v>14427</v>
      </c>
      <c r="K20" s="2" t="s">
        <v>3755</v>
      </c>
      <c r="L20" s="2" t="s">
        <v>2</v>
      </c>
      <c r="M20" s="2" t="s">
        <v>2</v>
      </c>
    </row>
    <row r="21" spans="1:13" ht="24" customHeight="1" x14ac:dyDescent="0.3">
      <c r="A21" s="2" t="s">
        <v>108</v>
      </c>
      <c r="B21" s="11"/>
      <c r="C21" s="11"/>
      <c r="D21" s="2" t="s">
        <v>3756</v>
      </c>
      <c r="E21" s="2" t="s">
        <v>3757</v>
      </c>
      <c r="F21" s="2" t="s">
        <v>3758</v>
      </c>
      <c r="G21" s="2" t="s">
        <v>3686</v>
      </c>
      <c r="H21" s="3">
        <v>6</v>
      </c>
      <c r="I21" s="2" t="s">
        <v>3759</v>
      </c>
      <c r="J21" s="4">
        <v>55948</v>
      </c>
      <c r="K21" s="2" t="s">
        <v>1010</v>
      </c>
      <c r="L21" s="2" t="s">
        <v>2</v>
      </c>
      <c r="M21" s="2" t="s">
        <v>2</v>
      </c>
    </row>
    <row r="22" spans="1:13" ht="24" customHeight="1" x14ac:dyDescent="0.3">
      <c r="A22" s="2" t="s">
        <v>109</v>
      </c>
      <c r="B22" s="11"/>
      <c r="C22" s="11"/>
      <c r="D22" s="2" t="s">
        <v>3760</v>
      </c>
      <c r="E22" s="2" t="s">
        <v>1507</v>
      </c>
      <c r="F22" s="2" t="s">
        <v>3761</v>
      </c>
      <c r="G22" s="2" t="s">
        <v>3678</v>
      </c>
      <c r="H22" s="3">
        <v>0</v>
      </c>
      <c r="I22" s="2" t="s">
        <v>1509</v>
      </c>
      <c r="J22" s="4">
        <v>10280</v>
      </c>
      <c r="K22" s="2" t="s">
        <v>3421</v>
      </c>
      <c r="L22" s="2" t="s">
        <v>2</v>
      </c>
      <c r="M22" s="2" t="s">
        <v>2</v>
      </c>
    </row>
    <row r="23" spans="1:13" ht="24" customHeight="1" x14ac:dyDescent="0.3">
      <c r="A23" s="2" t="s">
        <v>110</v>
      </c>
      <c r="B23" s="11"/>
      <c r="C23" s="11"/>
      <c r="D23" s="2" t="s">
        <v>3762</v>
      </c>
      <c r="E23" s="2" t="s">
        <v>3763</v>
      </c>
      <c r="F23" s="2" t="s">
        <v>3764</v>
      </c>
      <c r="G23" s="2" t="s">
        <v>3678</v>
      </c>
      <c r="H23" s="3">
        <v>8</v>
      </c>
      <c r="I23" s="2" t="s">
        <v>1499</v>
      </c>
      <c r="J23" s="4">
        <v>0</v>
      </c>
      <c r="K23" s="2" t="s">
        <v>3652</v>
      </c>
      <c r="L23" s="2" t="s">
        <v>2</v>
      </c>
      <c r="M23" s="2" t="s">
        <v>2</v>
      </c>
    </row>
    <row r="24" spans="1:13" ht="24" customHeight="1" x14ac:dyDescent="0.3">
      <c r="A24" s="2" t="s">
        <v>111</v>
      </c>
      <c r="B24" s="11"/>
      <c r="C24" s="11"/>
      <c r="D24" s="2" t="s">
        <v>3765</v>
      </c>
      <c r="E24" s="2" t="s">
        <v>3392</v>
      </c>
      <c r="F24" s="2" t="s">
        <v>3766</v>
      </c>
      <c r="G24" s="2" t="s">
        <v>3685</v>
      </c>
      <c r="H24" s="3">
        <v>15</v>
      </c>
      <c r="I24" s="2" t="s">
        <v>3767</v>
      </c>
      <c r="J24" s="4">
        <v>87224</v>
      </c>
      <c r="K24" s="2" t="s">
        <v>280</v>
      </c>
      <c r="L24" s="2" t="s">
        <v>2</v>
      </c>
      <c r="M24" s="2" t="s">
        <v>2</v>
      </c>
    </row>
    <row r="25" spans="1:13" ht="24" customHeight="1" x14ac:dyDescent="0.3">
      <c r="A25" s="2" t="s">
        <v>112</v>
      </c>
      <c r="B25" s="11"/>
      <c r="C25" s="11"/>
      <c r="D25" s="2" t="s">
        <v>3768</v>
      </c>
      <c r="E25" s="2" t="s">
        <v>1417</v>
      </c>
      <c r="F25" s="2" t="s">
        <v>3769</v>
      </c>
      <c r="G25" s="2" t="s">
        <v>3678</v>
      </c>
      <c r="H25" s="3">
        <v>11</v>
      </c>
      <c r="I25" s="2" t="s">
        <v>1419</v>
      </c>
      <c r="J25" s="4">
        <v>18609</v>
      </c>
      <c r="K25" s="2" t="s">
        <v>3770</v>
      </c>
      <c r="L25" s="2" t="s">
        <v>2</v>
      </c>
      <c r="M25" s="2" t="s">
        <v>2</v>
      </c>
    </row>
    <row r="26" spans="1:13" ht="24" customHeight="1" x14ac:dyDescent="0.3">
      <c r="A26" s="2" t="s">
        <v>113</v>
      </c>
      <c r="B26" s="11"/>
      <c r="C26" s="11"/>
      <c r="D26" s="2" t="s">
        <v>3771</v>
      </c>
      <c r="E26" s="2" t="s">
        <v>3772</v>
      </c>
      <c r="F26" s="2" t="s">
        <v>3773</v>
      </c>
      <c r="G26" s="2" t="s">
        <v>3678</v>
      </c>
      <c r="H26" s="3">
        <v>0</v>
      </c>
      <c r="I26" s="2" t="s">
        <v>3774</v>
      </c>
      <c r="J26" s="4">
        <v>39722</v>
      </c>
      <c r="K26" s="2" t="s">
        <v>3591</v>
      </c>
      <c r="L26" s="2" t="s">
        <v>2</v>
      </c>
      <c r="M26" s="2" t="s">
        <v>2</v>
      </c>
    </row>
    <row r="27" spans="1:13" ht="24" customHeight="1" x14ac:dyDescent="0.3">
      <c r="A27" s="2" t="s">
        <v>114</v>
      </c>
      <c r="B27" s="11"/>
      <c r="C27" s="11"/>
      <c r="D27" s="2" t="s">
        <v>3775</v>
      </c>
      <c r="E27" s="2" t="s">
        <v>3776</v>
      </c>
      <c r="F27" s="2" t="s">
        <v>3777</v>
      </c>
      <c r="G27" s="2" t="s">
        <v>3685</v>
      </c>
      <c r="H27" s="3">
        <v>3</v>
      </c>
      <c r="I27" s="2" t="s">
        <v>3778</v>
      </c>
      <c r="J27" s="4">
        <v>501</v>
      </c>
      <c r="K27" s="2" t="s">
        <v>971</v>
      </c>
      <c r="L27" s="2" t="s">
        <v>2</v>
      </c>
      <c r="M27" s="2" t="s">
        <v>2</v>
      </c>
    </row>
    <row r="28" spans="1:13" ht="24" customHeight="1" x14ac:dyDescent="0.3">
      <c r="A28" s="2" t="s">
        <v>115</v>
      </c>
      <c r="B28" s="11"/>
      <c r="C28" s="11" t="s">
        <v>56</v>
      </c>
      <c r="D28" s="2" t="s">
        <v>1665</v>
      </c>
      <c r="E28" s="2" t="s">
        <v>1666</v>
      </c>
      <c r="F28" s="2" t="s">
        <v>3779</v>
      </c>
      <c r="G28" s="2" t="s">
        <v>3678</v>
      </c>
      <c r="H28" s="3">
        <v>10</v>
      </c>
      <c r="I28" s="2" t="s">
        <v>3780</v>
      </c>
      <c r="J28" s="4">
        <v>18718</v>
      </c>
      <c r="K28" s="2" t="s">
        <v>1606</v>
      </c>
      <c r="L28" s="2" t="s">
        <v>2</v>
      </c>
      <c r="M28" s="2" t="s">
        <v>2</v>
      </c>
    </row>
    <row r="29" spans="1:13" ht="24" customHeight="1" x14ac:dyDescent="0.3">
      <c r="A29" s="2" t="s">
        <v>116</v>
      </c>
      <c r="B29" s="11"/>
      <c r="C29" s="11"/>
      <c r="D29" s="2" t="s">
        <v>3781</v>
      </c>
      <c r="E29" s="2" t="s">
        <v>3782</v>
      </c>
      <c r="F29" s="2" t="s">
        <v>3783</v>
      </c>
      <c r="G29" s="2" t="s">
        <v>3784</v>
      </c>
      <c r="H29" s="3">
        <v>3</v>
      </c>
      <c r="I29" s="2" t="s">
        <v>3785</v>
      </c>
      <c r="J29" s="4">
        <v>59347</v>
      </c>
      <c r="K29" s="2" t="s">
        <v>951</v>
      </c>
      <c r="L29" s="2" t="s">
        <v>2</v>
      </c>
      <c r="M29" s="2" t="s">
        <v>2</v>
      </c>
    </row>
    <row r="30" spans="1:13" ht="24" customHeight="1" x14ac:dyDescent="0.3">
      <c r="A30" s="2" t="s">
        <v>117</v>
      </c>
      <c r="B30" s="11"/>
      <c r="C30" s="11"/>
      <c r="D30" s="2" t="s">
        <v>3760</v>
      </c>
      <c r="E30" s="2" t="s">
        <v>1507</v>
      </c>
      <c r="F30" s="2" t="s">
        <v>3786</v>
      </c>
      <c r="G30" s="2" t="s">
        <v>3678</v>
      </c>
      <c r="H30" s="3">
        <v>7</v>
      </c>
      <c r="I30" s="2" t="s">
        <v>1509</v>
      </c>
      <c r="J30" s="4">
        <v>20160</v>
      </c>
      <c r="K30" s="2" t="s">
        <v>522</v>
      </c>
      <c r="L30" s="2" t="s">
        <v>2</v>
      </c>
      <c r="M30" s="2" t="s">
        <v>2</v>
      </c>
    </row>
    <row r="31" spans="1:13" ht="24" customHeight="1" x14ac:dyDescent="0.3">
      <c r="A31" s="2" t="s">
        <v>118</v>
      </c>
      <c r="B31" s="11"/>
      <c r="C31" s="11"/>
      <c r="D31" s="2" t="s">
        <v>3787</v>
      </c>
      <c r="E31" s="2" t="s">
        <v>3442</v>
      </c>
      <c r="F31" s="2" t="s">
        <v>3788</v>
      </c>
      <c r="G31" s="2" t="s">
        <v>3678</v>
      </c>
      <c r="H31" s="3">
        <v>38</v>
      </c>
      <c r="I31" s="2" t="s">
        <v>3789</v>
      </c>
      <c r="J31" s="4">
        <v>33935</v>
      </c>
      <c r="K31" s="2" t="s">
        <v>1090</v>
      </c>
      <c r="L31" s="2" t="s">
        <v>2</v>
      </c>
      <c r="M31" s="2" t="s">
        <v>2</v>
      </c>
    </row>
    <row r="32" spans="1:13" ht="24" customHeight="1" x14ac:dyDescent="0.3">
      <c r="A32" s="2" t="s">
        <v>119</v>
      </c>
      <c r="B32" s="11"/>
      <c r="C32" s="11"/>
      <c r="D32" s="2" t="s">
        <v>3790</v>
      </c>
      <c r="E32" s="2" t="s">
        <v>3791</v>
      </c>
      <c r="F32" s="2" t="s">
        <v>3792</v>
      </c>
      <c r="G32" s="2" t="s">
        <v>3682</v>
      </c>
      <c r="H32" s="3">
        <v>0</v>
      </c>
      <c r="I32" s="2" t="s">
        <v>3793</v>
      </c>
      <c r="J32" s="4">
        <v>0</v>
      </c>
      <c r="K32" s="2" t="s">
        <v>1033</v>
      </c>
      <c r="L32" s="2" t="s">
        <v>2</v>
      </c>
      <c r="M32" s="2" t="s">
        <v>2</v>
      </c>
    </row>
    <row r="33" spans="1:13" ht="24" customHeight="1" x14ac:dyDescent="0.3">
      <c r="A33" s="2" t="s">
        <v>120</v>
      </c>
      <c r="B33" s="11"/>
      <c r="C33" s="11"/>
      <c r="D33" s="2" t="s">
        <v>3794</v>
      </c>
      <c r="E33" s="2" t="s">
        <v>1020</v>
      </c>
      <c r="F33" s="2" t="s">
        <v>3795</v>
      </c>
      <c r="G33" s="2" t="s">
        <v>3796</v>
      </c>
      <c r="H33" s="3">
        <v>5</v>
      </c>
      <c r="I33" s="2" t="s">
        <v>2</v>
      </c>
      <c r="J33" s="4">
        <v>0</v>
      </c>
      <c r="K33" s="2" t="s">
        <v>1529</v>
      </c>
      <c r="L33" s="2" t="s">
        <v>2</v>
      </c>
      <c r="M33" s="2" t="s">
        <v>2</v>
      </c>
    </row>
    <row r="34" spans="1:13" ht="24" customHeight="1" x14ac:dyDescent="0.3">
      <c r="A34" s="2" t="s">
        <v>123</v>
      </c>
      <c r="B34" s="11"/>
      <c r="C34" s="11"/>
      <c r="D34" s="2" t="s">
        <v>1620</v>
      </c>
      <c r="E34" s="2" t="s">
        <v>1621</v>
      </c>
      <c r="F34" s="2" t="s">
        <v>3797</v>
      </c>
      <c r="G34" s="2" t="s">
        <v>3680</v>
      </c>
      <c r="H34" s="3">
        <v>15</v>
      </c>
      <c r="I34" s="2" t="s">
        <v>1624</v>
      </c>
      <c r="J34" s="4">
        <v>203000</v>
      </c>
      <c r="K34" s="2" t="s">
        <v>564</v>
      </c>
      <c r="L34" s="2" t="s">
        <v>2</v>
      </c>
      <c r="M34" s="2" t="s">
        <v>2</v>
      </c>
    </row>
    <row r="35" spans="1:13" ht="24" customHeight="1" x14ac:dyDescent="0.3">
      <c r="A35" s="2" t="s">
        <v>135</v>
      </c>
      <c r="B35" s="11"/>
      <c r="C35" s="11" t="s">
        <v>211</v>
      </c>
      <c r="D35" s="2" t="s">
        <v>3798</v>
      </c>
      <c r="E35" s="2" t="s">
        <v>3799</v>
      </c>
      <c r="F35" s="2" t="s">
        <v>3800</v>
      </c>
      <c r="G35" s="2" t="s">
        <v>3678</v>
      </c>
      <c r="H35" s="3">
        <v>18</v>
      </c>
      <c r="I35" s="2" t="s">
        <v>3801</v>
      </c>
      <c r="J35" s="4">
        <v>0</v>
      </c>
      <c r="K35" s="2" t="s">
        <v>3441</v>
      </c>
      <c r="L35" s="2" t="s">
        <v>2</v>
      </c>
      <c r="M35" s="2" t="s">
        <v>2</v>
      </c>
    </row>
    <row r="36" spans="1:13" ht="24" customHeight="1" x14ac:dyDescent="0.3">
      <c r="A36" s="2" t="s">
        <v>136</v>
      </c>
      <c r="B36" s="11"/>
      <c r="C36" s="11"/>
      <c r="D36" s="2" t="s">
        <v>3802</v>
      </c>
      <c r="E36" s="2" t="s">
        <v>3803</v>
      </c>
      <c r="F36" s="2" t="s">
        <v>3804</v>
      </c>
      <c r="G36" s="2" t="s">
        <v>3678</v>
      </c>
      <c r="H36" s="3">
        <v>4</v>
      </c>
      <c r="I36" s="2" t="s">
        <v>3805</v>
      </c>
      <c r="J36" s="4">
        <v>12268</v>
      </c>
      <c r="K36" s="2" t="s">
        <v>557</v>
      </c>
      <c r="L36" s="2" t="s">
        <v>2</v>
      </c>
      <c r="M36" s="2" t="s">
        <v>2</v>
      </c>
    </row>
    <row r="37" spans="1:13" ht="24" customHeight="1" x14ac:dyDescent="0.3">
      <c r="A37" s="2" t="s">
        <v>137</v>
      </c>
      <c r="B37" s="11"/>
      <c r="C37" s="11"/>
      <c r="D37" s="2" t="s">
        <v>3806</v>
      </c>
      <c r="E37" s="2" t="s">
        <v>645</v>
      </c>
      <c r="F37" s="2" t="s">
        <v>3807</v>
      </c>
      <c r="G37" s="2" t="s">
        <v>3678</v>
      </c>
      <c r="H37" s="3">
        <v>7</v>
      </c>
      <c r="I37" s="2" t="s">
        <v>3808</v>
      </c>
      <c r="J37" s="4">
        <v>13914</v>
      </c>
      <c r="K37" s="2" t="s">
        <v>1091</v>
      </c>
      <c r="L37" s="2" t="s">
        <v>2</v>
      </c>
      <c r="M37" s="2" t="s">
        <v>2</v>
      </c>
    </row>
    <row r="38" spans="1:13" ht="24" customHeight="1" x14ac:dyDescent="0.3">
      <c r="A38" s="2" t="s">
        <v>138</v>
      </c>
      <c r="B38" s="11"/>
      <c r="C38" s="11"/>
      <c r="D38" s="2" t="s">
        <v>3809</v>
      </c>
      <c r="E38" s="2" t="s">
        <v>3810</v>
      </c>
      <c r="F38" s="2" t="s">
        <v>3811</v>
      </c>
      <c r="G38" s="2" t="s">
        <v>3694</v>
      </c>
      <c r="H38" s="3">
        <v>3</v>
      </c>
      <c r="I38" s="2" t="s">
        <v>3812</v>
      </c>
      <c r="J38" s="4">
        <v>0</v>
      </c>
      <c r="K38" s="2" t="s">
        <v>3451</v>
      </c>
      <c r="L38" s="2" t="s">
        <v>2</v>
      </c>
      <c r="M38" s="2" t="s">
        <v>2</v>
      </c>
    </row>
    <row r="39" spans="1:13" ht="24" customHeight="1" x14ac:dyDescent="0.3">
      <c r="A39" s="2" t="s">
        <v>139</v>
      </c>
      <c r="B39" s="11"/>
      <c r="C39" s="11"/>
      <c r="D39" s="2" t="s">
        <v>3813</v>
      </c>
      <c r="E39" s="2" t="s">
        <v>3814</v>
      </c>
      <c r="F39" s="2" t="s">
        <v>3815</v>
      </c>
      <c r="G39" s="2" t="s">
        <v>3678</v>
      </c>
      <c r="H39" s="3">
        <v>3</v>
      </c>
      <c r="I39" s="2" t="s">
        <v>3816</v>
      </c>
      <c r="J39" s="4">
        <v>0</v>
      </c>
      <c r="K39" s="2" t="s">
        <v>3817</v>
      </c>
      <c r="L39" s="2" t="s">
        <v>2</v>
      </c>
      <c r="M39" s="2" t="s">
        <v>2</v>
      </c>
    </row>
    <row r="40" spans="1:13" ht="24" customHeight="1" x14ac:dyDescent="0.3">
      <c r="A40" s="2" t="s">
        <v>140</v>
      </c>
      <c r="B40" s="11"/>
      <c r="C40" s="11"/>
      <c r="D40" s="2" t="s">
        <v>3818</v>
      </c>
      <c r="E40" s="2" t="s">
        <v>3819</v>
      </c>
      <c r="F40" s="2" t="s">
        <v>3820</v>
      </c>
      <c r="G40" s="2" t="s">
        <v>3678</v>
      </c>
      <c r="H40" s="3">
        <v>21</v>
      </c>
      <c r="I40" s="2" t="s">
        <v>3821</v>
      </c>
      <c r="J40" s="4">
        <v>11300</v>
      </c>
      <c r="K40" s="2" t="s">
        <v>1039</v>
      </c>
      <c r="L40" s="2" t="s">
        <v>2</v>
      </c>
      <c r="M40" s="2" t="s">
        <v>2</v>
      </c>
    </row>
    <row r="41" spans="1:13" ht="24" customHeight="1" x14ac:dyDescent="0.3">
      <c r="A41" s="2" t="s">
        <v>141</v>
      </c>
      <c r="B41" s="11"/>
      <c r="C41" s="11"/>
      <c r="D41" s="2" t="s">
        <v>3822</v>
      </c>
      <c r="E41" s="2" t="s">
        <v>1968</v>
      </c>
      <c r="F41" s="2" t="s">
        <v>3823</v>
      </c>
      <c r="G41" s="2" t="s">
        <v>3696</v>
      </c>
      <c r="H41" s="3">
        <v>51</v>
      </c>
      <c r="I41" s="2" t="s">
        <v>1970</v>
      </c>
      <c r="J41" s="4">
        <v>53997</v>
      </c>
      <c r="K41" s="2" t="s">
        <v>128</v>
      </c>
      <c r="L41" s="2" t="s">
        <v>2</v>
      </c>
      <c r="M41" s="2" t="s">
        <v>2</v>
      </c>
    </row>
    <row r="42" spans="1:13" ht="24" customHeight="1" x14ac:dyDescent="0.3">
      <c r="A42" s="2" t="s">
        <v>142</v>
      </c>
      <c r="B42" s="11"/>
      <c r="C42" s="11"/>
      <c r="D42" s="2" t="s">
        <v>2120</v>
      </c>
      <c r="E42" s="2" t="s">
        <v>2121</v>
      </c>
      <c r="F42" s="2" t="s">
        <v>3824</v>
      </c>
      <c r="G42" s="2" t="s">
        <v>2</v>
      </c>
      <c r="H42" s="3">
        <v>16</v>
      </c>
      <c r="I42" s="2" t="s">
        <v>2123</v>
      </c>
      <c r="J42" s="4">
        <v>0</v>
      </c>
      <c r="K42" s="2" t="s">
        <v>977</v>
      </c>
      <c r="L42" s="2" t="s">
        <v>2</v>
      </c>
      <c r="M42" s="2" t="s">
        <v>2</v>
      </c>
    </row>
    <row r="43" spans="1:13" ht="24" customHeight="1" x14ac:dyDescent="0.3">
      <c r="A43" s="2" t="s">
        <v>143</v>
      </c>
      <c r="B43" s="11"/>
      <c r="C43" s="11"/>
      <c r="D43" s="2" t="s">
        <v>3825</v>
      </c>
      <c r="E43" s="2" t="s">
        <v>3622</v>
      </c>
      <c r="F43" s="2" t="s">
        <v>3826</v>
      </c>
      <c r="G43" s="2" t="s">
        <v>3827</v>
      </c>
      <c r="H43" s="3">
        <v>12</v>
      </c>
      <c r="I43" s="2" t="s">
        <v>3828</v>
      </c>
      <c r="J43" s="4">
        <v>9937</v>
      </c>
      <c r="K43" s="2" t="s">
        <v>3829</v>
      </c>
      <c r="L43" s="2" t="s">
        <v>2</v>
      </c>
      <c r="M43" s="2" t="s">
        <v>2</v>
      </c>
    </row>
    <row r="44" spans="1:13" ht="24" customHeight="1" x14ac:dyDescent="0.3">
      <c r="A44" s="2" t="s">
        <v>144</v>
      </c>
      <c r="B44" s="11"/>
      <c r="C44" s="11"/>
      <c r="D44" s="2" t="s">
        <v>3830</v>
      </c>
      <c r="E44" s="2" t="s">
        <v>3831</v>
      </c>
      <c r="F44" s="2" t="s">
        <v>3832</v>
      </c>
      <c r="G44" s="2" t="s">
        <v>3833</v>
      </c>
      <c r="H44" s="3">
        <v>5</v>
      </c>
      <c r="I44" s="2" t="s">
        <v>3834</v>
      </c>
      <c r="J44" s="4">
        <v>3931</v>
      </c>
      <c r="K44" s="2" t="s">
        <v>486</v>
      </c>
      <c r="L44" s="2" t="s">
        <v>2</v>
      </c>
      <c r="M44" s="2" t="s">
        <v>2</v>
      </c>
    </row>
    <row r="45" spans="1:13" ht="24" customHeight="1" x14ac:dyDescent="0.3">
      <c r="A45" s="2" t="s">
        <v>145</v>
      </c>
      <c r="B45" s="11"/>
      <c r="C45" s="11"/>
      <c r="D45" s="2" t="s">
        <v>2008</v>
      </c>
      <c r="E45" s="2" t="s">
        <v>2009</v>
      </c>
      <c r="F45" s="2" t="s">
        <v>3835</v>
      </c>
      <c r="G45" s="2" t="s">
        <v>3694</v>
      </c>
      <c r="H45" s="3">
        <v>3</v>
      </c>
      <c r="I45" s="2" t="s">
        <v>2</v>
      </c>
      <c r="J45" s="4">
        <v>0</v>
      </c>
      <c r="K45" s="2" t="s">
        <v>3559</v>
      </c>
      <c r="L45" s="2" t="s">
        <v>2</v>
      </c>
      <c r="M45" s="2" t="s">
        <v>2</v>
      </c>
    </row>
    <row r="46" spans="1:13" ht="24" customHeight="1" x14ac:dyDescent="0.3">
      <c r="A46" s="2" t="s">
        <v>146</v>
      </c>
      <c r="B46" s="11"/>
      <c r="C46" s="11" t="s">
        <v>403</v>
      </c>
      <c r="D46" s="2" t="s">
        <v>3836</v>
      </c>
      <c r="E46" s="2" t="s">
        <v>3597</v>
      </c>
      <c r="F46" s="2" t="s">
        <v>3837</v>
      </c>
      <c r="G46" s="2" t="s">
        <v>3678</v>
      </c>
      <c r="H46" s="3">
        <v>9</v>
      </c>
      <c r="I46" s="2" t="s">
        <v>3838</v>
      </c>
      <c r="J46" s="4">
        <v>65978</v>
      </c>
      <c r="K46" s="2" t="s">
        <v>3839</v>
      </c>
      <c r="L46" s="2" t="s">
        <v>2</v>
      </c>
      <c r="M46" s="2" t="s">
        <v>2</v>
      </c>
    </row>
    <row r="47" spans="1:13" ht="24" customHeight="1" x14ac:dyDescent="0.3">
      <c r="A47" s="2" t="s">
        <v>147</v>
      </c>
      <c r="B47" s="11"/>
      <c r="C47" s="11"/>
      <c r="D47" s="2" t="s">
        <v>3840</v>
      </c>
      <c r="E47" s="2" t="s">
        <v>3841</v>
      </c>
      <c r="F47" s="2" t="s">
        <v>3842</v>
      </c>
      <c r="G47" s="2" t="s">
        <v>3678</v>
      </c>
      <c r="H47" s="3">
        <v>5</v>
      </c>
      <c r="I47" s="2" t="s">
        <v>2</v>
      </c>
      <c r="J47" s="4">
        <v>0</v>
      </c>
      <c r="K47" s="2" t="s">
        <v>3550</v>
      </c>
      <c r="L47" s="2" t="s">
        <v>2</v>
      </c>
      <c r="M47" s="2" t="s">
        <v>2</v>
      </c>
    </row>
    <row r="48" spans="1:13" ht="24" customHeight="1" x14ac:dyDescent="0.3">
      <c r="A48" s="2" t="s">
        <v>148</v>
      </c>
      <c r="B48" s="11"/>
      <c r="C48" s="11"/>
      <c r="D48" s="2" t="s">
        <v>3843</v>
      </c>
      <c r="E48" s="2" t="s">
        <v>3844</v>
      </c>
      <c r="F48" s="2" t="s">
        <v>3845</v>
      </c>
      <c r="G48" s="2" t="s">
        <v>3678</v>
      </c>
      <c r="H48" s="3">
        <v>15</v>
      </c>
      <c r="I48" s="2" t="s">
        <v>2</v>
      </c>
      <c r="J48" s="4">
        <v>7535</v>
      </c>
      <c r="K48" s="2" t="s">
        <v>1012</v>
      </c>
      <c r="L48" s="2" t="s">
        <v>2</v>
      </c>
      <c r="M48" s="2" t="s">
        <v>2</v>
      </c>
    </row>
    <row r="49" spans="1:13" ht="24" customHeight="1" x14ac:dyDescent="0.3">
      <c r="A49" s="2" t="s">
        <v>149</v>
      </c>
      <c r="B49" s="11"/>
      <c r="C49" s="11"/>
      <c r="D49" s="2" t="s">
        <v>3846</v>
      </c>
      <c r="E49" s="2" t="s">
        <v>3847</v>
      </c>
      <c r="F49" s="2" t="s">
        <v>3848</v>
      </c>
      <c r="G49" s="2" t="s">
        <v>3678</v>
      </c>
      <c r="H49" s="3">
        <v>3</v>
      </c>
      <c r="I49" s="2" t="s">
        <v>2</v>
      </c>
      <c r="J49" s="4">
        <v>308</v>
      </c>
      <c r="K49" s="2" t="s">
        <v>466</v>
      </c>
      <c r="L49" s="2" t="s">
        <v>2</v>
      </c>
      <c r="M49" s="2" t="s">
        <v>2</v>
      </c>
    </row>
    <row r="50" spans="1:13" ht="24" customHeight="1" x14ac:dyDescent="0.3">
      <c r="A50" s="2" t="s">
        <v>150</v>
      </c>
      <c r="B50" s="11"/>
      <c r="C50" s="11"/>
      <c r="D50" s="2" t="s">
        <v>3481</v>
      </c>
      <c r="E50" s="2" t="s">
        <v>3849</v>
      </c>
      <c r="F50" s="2" t="s">
        <v>3850</v>
      </c>
      <c r="G50" s="2" t="s">
        <v>3678</v>
      </c>
      <c r="H50" s="3">
        <v>3</v>
      </c>
      <c r="I50" s="2" t="s">
        <v>2</v>
      </c>
      <c r="J50" s="4">
        <v>0</v>
      </c>
      <c r="K50" s="2" t="s">
        <v>3458</v>
      </c>
      <c r="L50" s="2" t="s">
        <v>2</v>
      </c>
      <c r="M50" s="2" t="s">
        <v>2</v>
      </c>
    </row>
    <row r="51" spans="1:13" ht="24" customHeight="1" x14ac:dyDescent="0.3">
      <c r="A51" s="2" t="s">
        <v>151</v>
      </c>
      <c r="B51" s="11"/>
      <c r="C51" s="11"/>
      <c r="D51" s="2" t="s">
        <v>3851</v>
      </c>
      <c r="E51" s="2" t="s">
        <v>3852</v>
      </c>
      <c r="F51" s="2" t="s">
        <v>3853</v>
      </c>
      <c r="G51" s="2" t="s">
        <v>3677</v>
      </c>
      <c r="H51" s="3">
        <v>4</v>
      </c>
      <c r="I51" s="2" t="s">
        <v>3854</v>
      </c>
      <c r="J51" s="4">
        <v>39989</v>
      </c>
      <c r="K51" s="2" t="s">
        <v>3500</v>
      </c>
      <c r="L51" s="2" t="s">
        <v>2</v>
      </c>
      <c r="M51" s="2" t="s">
        <v>2</v>
      </c>
    </row>
    <row r="52" spans="1:13" ht="24" customHeight="1" x14ac:dyDescent="0.3">
      <c r="A52" s="2" t="s">
        <v>152</v>
      </c>
      <c r="B52" s="11"/>
      <c r="C52" s="11"/>
      <c r="D52" s="2" t="s">
        <v>3855</v>
      </c>
      <c r="E52" s="2" t="s">
        <v>3491</v>
      </c>
      <c r="F52" s="2" t="s">
        <v>3856</v>
      </c>
      <c r="G52" s="2" t="s">
        <v>3857</v>
      </c>
      <c r="H52" s="3">
        <v>9</v>
      </c>
      <c r="I52" s="2" t="s">
        <v>3858</v>
      </c>
      <c r="J52" s="4">
        <v>114821</v>
      </c>
      <c r="K52" s="2" t="s">
        <v>3859</v>
      </c>
      <c r="L52" s="2" t="s">
        <v>2</v>
      </c>
      <c r="M52" s="2" t="s">
        <v>2</v>
      </c>
    </row>
    <row r="53" spans="1:13" ht="24" customHeight="1" x14ac:dyDescent="0.3">
      <c r="A53" s="2" t="s">
        <v>153</v>
      </c>
      <c r="B53" s="11"/>
      <c r="C53" s="11"/>
      <c r="D53" s="2" t="s">
        <v>3860</v>
      </c>
      <c r="E53" s="2" t="s">
        <v>3861</v>
      </c>
      <c r="F53" s="2" t="s">
        <v>3862</v>
      </c>
      <c r="G53" s="2" t="s">
        <v>3678</v>
      </c>
      <c r="H53" s="3">
        <v>4</v>
      </c>
      <c r="I53" s="2" t="s">
        <v>3688</v>
      </c>
      <c r="J53" s="4">
        <v>75</v>
      </c>
      <c r="K53" s="2" t="s">
        <v>1880</v>
      </c>
      <c r="L53" s="2" t="s">
        <v>2</v>
      </c>
      <c r="M53" s="2" t="s">
        <v>2</v>
      </c>
    </row>
    <row r="54" spans="1:13" ht="24" customHeight="1" x14ac:dyDescent="0.3">
      <c r="A54" s="2" t="s">
        <v>155</v>
      </c>
      <c r="B54" s="11"/>
      <c r="C54" s="11"/>
      <c r="D54" s="2" t="s">
        <v>3863</v>
      </c>
      <c r="E54" s="2" t="s">
        <v>3864</v>
      </c>
      <c r="F54" s="2" t="s">
        <v>3865</v>
      </c>
      <c r="G54" s="2" t="s">
        <v>3695</v>
      </c>
      <c r="H54" s="3">
        <v>12</v>
      </c>
      <c r="I54" s="2" t="s">
        <v>2</v>
      </c>
      <c r="J54" s="4">
        <v>30062</v>
      </c>
      <c r="K54" s="2" t="s">
        <v>857</v>
      </c>
      <c r="L54" s="2" t="s">
        <v>2</v>
      </c>
      <c r="M54" s="2" t="s">
        <v>2</v>
      </c>
    </row>
    <row r="55" spans="1:13" ht="24" customHeight="1" x14ac:dyDescent="0.3">
      <c r="A55" s="2" t="s">
        <v>362</v>
      </c>
      <c r="B55" s="11"/>
      <c r="C55" s="11"/>
      <c r="D55" s="2" t="s">
        <v>3866</v>
      </c>
      <c r="E55" s="2" t="s">
        <v>3867</v>
      </c>
      <c r="F55" s="2" t="s">
        <v>3868</v>
      </c>
      <c r="G55" s="2" t="s">
        <v>3694</v>
      </c>
      <c r="H55" s="3">
        <v>3</v>
      </c>
      <c r="I55" s="2" t="s">
        <v>2</v>
      </c>
      <c r="J55" s="4">
        <v>0</v>
      </c>
      <c r="K55" s="2" t="s">
        <v>300</v>
      </c>
      <c r="L55" s="2" t="s">
        <v>2</v>
      </c>
      <c r="M55" s="2" t="s">
        <v>2</v>
      </c>
    </row>
    <row r="56" spans="1:13" ht="24" customHeight="1" x14ac:dyDescent="0.3">
      <c r="A56" s="2" t="s">
        <v>370</v>
      </c>
      <c r="B56" s="11"/>
      <c r="C56" s="11"/>
      <c r="D56" s="2" t="s">
        <v>3869</v>
      </c>
      <c r="E56" s="2" t="s">
        <v>3870</v>
      </c>
      <c r="F56" s="2" t="s">
        <v>3871</v>
      </c>
      <c r="G56" s="2" t="s">
        <v>3678</v>
      </c>
      <c r="H56" s="3">
        <v>3</v>
      </c>
      <c r="I56" s="2" t="s">
        <v>2</v>
      </c>
      <c r="J56" s="4">
        <v>0</v>
      </c>
      <c r="K56" s="2" t="s">
        <v>466</v>
      </c>
      <c r="L56" s="2" t="s">
        <v>2</v>
      </c>
      <c r="M56" s="2" t="s">
        <v>2</v>
      </c>
    </row>
    <row r="57" spans="1:13" ht="24" customHeight="1" x14ac:dyDescent="0.3">
      <c r="A57" s="2" t="s">
        <v>371</v>
      </c>
      <c r="B57" s="11"/>
      <c r="C57" s="11"/>
      <c r="D57" s="2" t="s">
        <v>956</v>
      </c>
      <c r="E57" s="2" t="s">
        <v>2494</v>
      </c>
      <c r="F57" s="2" t="s">
        <v>3872</v>
      </c>
      <c r="G57" s="2" t="s">
        <v>3873</v>
      </c>
      <c r="H57" s="3">
        <v>6</v>
      </c>
      <c r="I57" s="2" t="s">
        <v>2</v>
      </c>
      <c r="J57" s="4">
        <v>399</v>
      </c>
      <c r="K57" s="2" t="s">
        <v>3874</v>
      </c>
      <c r="L57" s="2" t="s">
        <v>2</v>
      </c>
      <c r="M57" s="2" t="s">
        <v>2</v>
      </c>
    </row>
    <row r="58" spans="1:13" ht="24" customHeight="1" x14ac:dyDescent="0.3">
      <c r="A58" s="2" t="s">
        <v>372</v>
      </c>
      <c r="B58" s="11"/>
      <c r="C58" s="11"/>
      <c r="D58" s="2" t="s">
        <v>3875</v>
      </c>
      <c r="E58" s="2" t="s">
        <v>3379</v>
      </c>
      <c r="F58" s="2" t="s">
        <v>3876</v>
      </c>
      <c r="G58" s="2" t="s">
        <v>3678</v>
      </c>
      <c r="H58" s="3">
        <v>3</v>
      </c>
      <c r="I58" s="2" t="s">
        <v>2</v>
      </c>
      <c r="J58" s="4">
        <v>20</v>
      </c>
      <c r="K58" s="2" t="s">
        <v>857</v>
      </c>
      <c r="L58" s="2" t="s">
        <v>2</v>
      </c>
      <c r="M58" s="2" t="s">
        <v>2</v>
      </c>
    </row>
    <row r="59" spans="1:13" ht="24" customHeight="1" x14ac:dyDescent="0.3">
      <c r="A59" s="2" t="s">
        <v>330</v>
      </c>
      <c r="B59" s="11"/>
      <c r="C59" s="11"/>
      <c r="D59" s="2" t="s">
        <v>2302</v>
      </c>
      <c r="E59" s="2" t="s">
        <v>2303</v>
      </c>
      <c r="F59" s="2" t="s">
        <v>3877</v>
      </c>
      <c r="G59" s="2" t="s">
        <v>3678</v>
      </c>
      <c r="H59" s="3">
        <v>5</v>
      </c>
      <c r="I59" s="2" t="s">
        <v>2</v>
      </c>
      <c r="J59" s="4">
        <v>5</v>
      </c>
      <c r="K59" s="2" t="s">
        <v>3878</v>
      </c>
      <c r="L59" s="2" t="s">
        <v>2</v>
      </c>
      <c r="M59" s="2" t="s">
        <v>2</v>
      </c>
    </row>
    <row r="60" spans="1:13" ht="24" customHeight="1" x14ac:dyDescent="0.3">
      <c r="A60" s="2" t="s">
        <v>358</v>
      </c>
      <c r="B60" s="11"/>
      <c r="C60" s="11"/>
      <c r="D60" s="2" t="s">
        <v>3879</v>
      </c>
      <c r="E60" s="2" t="s">
        <v>3880</v>
      </c>
      <c r="F60" s="2" t="s">
        <v>3881</v>
      </c>
      <c r="G60" s="2" t="s">
        <v>3678</v>
      </c>
      <c r="H60" s="3">
        <v>7</v>
      </c>
      <c r="I60" s="2" t="s">
        <v>3882</v>
      </c>
      <c r="J60" s="4">
        <v>153461</v>
      </c>
      <c r="K60" s="2" t="s">
        <v>3883</v>
      </c>
      <c r="L60" s="2" t="s">
        <v>2</v>
      </c>
      <c r="M60" s="2" t="s">
        <v>2</v>
      </c>
    </row>
    <row r="61" spans="1:13" ht="24" customHeight="1" x14ac:dyDescent="0.3">
      <c r="A61" s="2" t="s">
        <v>373</v>
      </c>
      <c r="B61" s="11"/>
      <c r="C61" s="11"/>
      <c r="D61" s="2" t="s">
        <v>3884</v>
      </c>
      <c r="E61" s="2" t="s">
        <v>2283</v>
      </c>
      <c r="F61" s="2" t="s">
        <v>3885</v>
      </c>
      <c r="G61" s="2" t="s">
        <v>3696</v>
      </c>
      <c r="H61" s="3">
        <v>3</v>
      </c>
      <c r="I61" s="2" t="s">
        <v>2286</v>
      </c>
      <c r="J61" s="4">
        <v>178</v>
      </c>
      <c r="K61" s="2" t="s">
        <v>3666</v>
      </c>
      <c r="L61" s="2" t="s">
        <v>2</v>
      </c>
      <c r="M61" s="2" t="s">
        <v>2</v>
      </c>
    </row>
    <row r="62" spans="1:13" ht="24" customHeight="1" x14ac:dyDescent="0.3">
      <c r="A62" s="2" t="s">
        <v>374</v>
      </c>
      <c r="B62" s="11"/>
      <c r="C62" s="11"/>
      <c r="D62" s="2" t="s">
        <v>3886</v>
      </c>
      <c r="E62" s="2" t="s">
        <v>3887</v>
      </c>
      <c r="F62" s="2" t="s">
        <v>3888</v>
      </c>
      <c r="G62" s="2" t="s">
        <v>3678</v>
      </c>
      <c r="H62" s="3">
        <v>9</v>
      </c>
      <c r="I62" s="2" t="s">
        <v>3889</v>
      </c>
      <c r="J62" s="4">
        <v>736</v>
      </c>
      <c r="K62" s="2" t="s">
        <v>532</v>
      </c>
      <c r="L62" s="2" t="s">
        <v>2</v>
      </c>
      <c r="M62" s="2" t="s">
        <v>2</v>
      </c>
    </row>
    <row r="63" spans="1:13" ht="24" customHeight="1" x14ac:dyDescent="0.3">
      <c r="A63" s="2" t="s">
        <v>375</v>
      </c>
      <c r="B63" s="11"/>
      <c r="C63" s="11" t="s">
        <v>215</v>
      </c>
      <c r="D63" s="2" t="s">
        <v>3890</v>
      </c>
      <c r="E63" s="2" t="s">
        <v>2547</v>
      </c>
      <c r="F63" s="2" t="s">
        <v>3891</v>
      </c>
      <c r="G63" s="2" t="s">
        <v>3678</v>
      </c>
      <c r="H63" s="3">
        <v>0</v>
      </c>
      <c r="I63" s="2" t="s">
        <v>2</v>
      </c>
      <c r="J63" s="4">
        <v>0</v>
      </c>
      <c r="K63" s="2" t="s">
        <v>967</v>
      </c>
      <c r="L63" s="2" t="s">
        <v>2</v>
      </c>
      <c r="M63" s="2" t="s">
        <v>2</v>
      </c>
    </row>
    <row r="64" spans="1:13" ht="24" customHeight="1" x14ac:dyDescent="0.3">
      <c r="A64" s="2" t="s">
        <v>359</v>
      </c>
      <c r="B64" s="11"/>
      <c r="C64" s="11"/>
      <c r="D64" s="2" t="s">
        <v>3892</v>
      </c>
      <c r="E64" s="2" t="s">
        <v>3893</v>
      </c>
      <c r="F64" s="2" t="s">
        <v>3894</v>
      </c>
      <c r="G64" s="2" t="s">
        <v>3686</v>
      </c>
      <c r="H64" s="3">
        <v>10</v>
      </c>
      <c r="I64" s="2" t="s">
        <v>3895</v>
      </c>
      <c r="J64" s="4">
        <v>56591</v>
      </c>
      <c r="K64" s="2" t="s">
        <v>577</v>
      </c>
      <c r="L64" s="2" t="s">
        <v>2</v>
      </c>
      <c r="M64" s="2" t="s">
        <v>2</v>
      </c>
    </row>
    <row r="65" spans="1:13" ht="24" customHeight="1" x14ac:dyDescent="0.3">
      <c r="A65" s="2" t="s">
        <v>376</v>
      </c>
      <c r="B65" s="11"/>
      <c r="C65" s="11"/>
      <c r="D65" s="2" t="s">
        <v>3896</v>
      </c>
      <c r="E65" s="2" t="s">
        <v>3897</v>
      </c>
      <c r="F65" s="2" t="s">
        <v>3898</v>
      </c>
      <c r="G65" s="2" t="s">
        <v>3899</v>
      </c>
      <c r="H65" s="3">
        <v>0</v>
      </c>
      <c r="I65" s="2" t="s">
        <v>2</v>
      </c>
      <c r="J65" s="4">
        <v>0</v>
      </c>
      <c r="K65" s="2" t="s">
        <v>3900</v>
      </c>
      <c r="L65" s="2" t="s">
        <v>2</v>
      </c>
      <c r="M65" s="2" t="s">
        <v>2</v>
      </c>
    </row>
    <row r="66" spans="1:13" ht="24" customHeight="1" x14ac:dyDescent="0.3">
      <c r="A66" s="2" t="s">
        <v>536</v>
      </c>
      <c r="B66" s="11"/>
      <c r="C66" s="11"/>
      <c r="D66" s="2" t="s">
        <v>3901</v>
      </c>
      <c r="E66" s="2" t="s">
        <v>3902</v>
      </c>
      <c r="F66" s="2" t="s">
        <v>3903</v>
      </c>
      <c r="G66" s="2" t="s">
        <v>3694</v>
      </c>
      <c r="H66" s="3">
        <v>3</v>
      </c>
      <c r="I66" s="2" t="s">
        <v>2</v>
      </c>
      <c r="J66" s="4">
        <v>10</v>
      </c>
      <c r="K66" s="2" t="s">
        <v>3631</v>
      </c>
      <c r="L66" s="2" t="s">
        <v>2</v>
      </c>
      <c r="M66" s="2" t="s">
        <v>2</v>
      </c>
    </row>
    <row r="67" spans="1:13" ht="24" customHeight="1" x14ac:dyDescent="0.3">
      <c r="A67" s="2" t="s">
        <v>537</v>
      </c>
      <c r="B67" s="11"/>
      <c r="C67" s="11"/>
      <c r="D67" s="2" t="s">
        <v>3904</v>
      </c>
      <c r="E67" s="2" t="s">
        <v>3905</v>
      </c>
      <c r="F67" s="2" t="s">
        <v>3906</v>
      </c>
      <c r="G67" s="2" t="s">
        <v>3679</v>
      </c>
      <c r="H67" s="3">
        <v>19</v>
      </c>
      <c r="I67" s="2" t="s">
        <v>3907</v>
      </c>
      <c r="J67" s="4">
        <v>18</v>
      </c>
      <c r="K67" s="2" t="s">
        <v>3515</v>
      </c>
      <c r="L67" s="2" t="s">
        <v>2</v>
      </c>
      <c r="M67" s="2" t="s">
        <v>2</v>
      </c>
    </row>
    <row r="68" spans="1:13" ht="24" customHeight="1" x14ac:dyDescent="0.3">
      <c r="A68" s="2" t="s">
        <v>538</v>
      </c>
      <c r="B68" s="11"/>
      <c r="C68" s="11"/>
      <c r="D68" s="2" t="s">
        <v>3908</v>
      </c>
      <c r="E68" s="2" t="s">
        <v>2723</v>
      </c>
      <c r="F68" s="2" t="s">
        <v>3909</v>
      </c>
      <c r="G68" s="2" t="s">
        <v>3678</v>
      </c>
      <c r="H68" s="3">
        <v>23</v>
      </c>
      <c r="I68" s="2" t="s">
        <v>3910</v>
      </c>
      <c r="J68" s="4">
        <v>192089</v>
      </c>
      <c r="K68" s="2" t="s">
        <v>244</v>
      </c>
      <c r="L68" s="2" t="s">
        <v>2</v>
      </c>
      <c r="M68" s="2" t="s">
        <v>2</v>
      </c>
    </row>
    <row r="69" spans="1:13" ht="24" customHeight="1" x14ac:dyDescent="0.3">
      <c r="A69" s="2" t="s">
        <v>539</v>
      </c>
      <c r="B69" s="11"/>
      <c r="C69" s="11"/>
      <c r="D69" s="2" t="s">
        <v>3911</v>
      </c>
      <c r="E69" s="2" t="s">
        <v>3912</v>
      </c>
      <c r="F69" s="2" t="s">
        <v>3913</v>
      </c>
      <c r="G69" s="2" t="s">
        <v>3682</v>
      </c>
      <c r="H69" s="3">
        <v>0</v>
      </c>
      <c r="I69" s="2" t="s">
        <v>2</v>
      </c>
      <c r="J69" s="4">
        <v>0</v>
      </c>
      <c r="K69" s="2" t="s">
        <v>3672</v>
      </c>
      <c r="L69" s="2" t="s">
        <v>2</v>
      </c>
      <c r="M69" s="2" t="s">
        <v>2</v>
      </c>
    </row>
    <row r="70" spans="1:13" ht="24" customHeight="1" x14ac:dyDescent="0.3">
      <c r="A70" s="2" t="s">
        <v>540</v>
      </c>
      <c r="B70" s="11"/>
      <c r="C70" s="11"/>
      <c r="D70" s="2" t="s">
        <v>3914</v>
      </c>
      <c r="E70" s="2" t="s">
        <v>3915</v>
      </c>
      <c r="F70" s="2" t="s">
        <v>3916</v>
      </c>
      <c r="G70" s="2" t="s">
        <v>3678</v>
      </c>
      <c r="H70" s="3">
        <v>42</v>
      </c>
      <c r="I70" s="2" t="s">
        <v>3917</v>
      </c>
      <c r="J70" s="4">
        <v>167181</v>
      </c>
      <c r="K70" s="2" t="s">
        <v>3918</v>
      </c>
      <c r="L70" s="2" t="s">
        <v>2</v>
      </c>
      <c r="M70" s="2" t="s">
        <v>2</v>
      </c>
    </row>
    <row r="71" spans="1:13" ht="24" customHeight="1" x14ac:dyDescent="0.3">
      <c r="A71" s="2" t="s">
        <v>541</v>
      </c>
      <c r="B71" s="11"/>
      <c r="C71" s="11"/>
      <c r="D71" s="2" t="s">
        <v>3919</v>
      </c>
      <c r="E71" s="2" t="s">
        <v>3920</v>
      </c>
      <c r="F71" s="2" t="s">
        <v>3921</v>
      </c>
      <c r="G71" s="2" t="s">
        <v>3682</v>
      </c>
      <c r="H71" s="3">
        <v>3</v>
      </c>
      <c r="I71" s="2" t="s">
        <v>3922</v>
      </c>
      <c r="J71" s="4">
        <v>0</v>
      </c>
      <c r="K71" s="2" t="s">
        <v>3464</v>
      </c>
      <c r="L71" s="2" t="s">
        <v>2</v>
      </c>
      <c r="M71" s="2" t="s">
        <v>2</v>
      </c>
    </row>
    <row r="72" spans="1:13" ht="24" customHeight="1" x14ac:dyDescent="0.3">
      <c r="A72" s="2" t="s">
        <v>542</v>
      </c>
      <c r="B72" s="11"/>
      <c r="C72" s="11"/>
      <c r="D72" s="2" t="s">
        <v>2435</v>
      </c>
      <c r="E72" s="2" t="s">
        <v>2436</v>
      </c>
      <c r="F72" s="2" t="s">
        <v>3923</v>
      </c>
      <c r="G72" s="2" t="s">
        <v>3678</v>
      </c>
      <c r="H72" s="3">
        <v>15</v>
      </c>
      <c r="I72" s="2" t="s">
        <v>3924</v>
      </c>
      <c r="J72" s="4">
        <v>2361</v>
      </c>
      <c r="K72" s="2" t="s">
        <v>2420</v>
      </c>
      <c r="L72" s="2" t="s">
        <v>2</v>
      </c>
      <c r="M72" s="2" t="s">
        <v>2</v>
      </c>
    </row>
    <row r="73" spans="1:13" ht="24" customHeight="1" x14ac:dyDescent="0.3">
      <c r="A73" s="2" t="s">
        <v>544</v>
      </c>
      <c r="B73" s="11"/>
      <c r="C73" s="11"/>
      <c r="D73" s="2" t="s">
        <v>3925</v>
      </c>
      <c r="E73" s="2" t="s">
        <v>3926</v>
      </c>
      <c r="F73" s="2" t="s">
        <v>3927</v>
      </c>
      <c r="G73" s="2" t="s">
        <v>3928</v>
      </c>
      <c r="H73" s="3">
        <v>6</v>
      </c>
      <c r="I73" s="2" t="s">
        <v>2</v>
      </c>
      <c r="J73" s="4">
        <v>0</v>
      </c>
      <c r="K73" s="2" t="s">
        <v>3416</v>
      </c>
      <c r="L73" s="2" t="s">
        <v>2</v>
      </c>
      <c r="M73" s="2" t="s">
        <v>2</v>
      </c>
    </row>
    <row r="74" spans="1:13" ht="24" customHeight="1" x14ac:dyDescent="0.3">
      <c r="A74" s="2" t="s">
        <v>545</v>
      </c>
      <c r="B74" s="11"/>
      <c r="C74" s="11"/>
      <c r="D74" s="2" t="s">
        <v>3929</v>
      </c>
      <c r="E74" s="2" t="s">
        <v>3930</v>
      </c>
      <c r="F74" s="2" t="s">
        <v>3931</v>
      </c>
      <c r="G74" s="2" t="s">
        <v>3678</v>
      </c>
      <c r="H74" s="3">
        <v>9</v>
      </c>
      <c r="I74" s="2" t="s">
        <v>3932</v>
      </c>
      <c r="J74" s="4">
        <v>0</v>
      </c>
      <c r="K74" s="2" t="s">
        <v>996</v>
      </c>
      <c r="L74" s="2" t="s">
        <v>2</v>
      </c>
      <c r="M74" s="2" t="s">
        <v>2</v>
      </c>
    </row>
    <row r="75" spans="1:13" ht="24" customHeight="1" x14ac:dyDescent="0.3">
      <c r="A75" s="2" t="s">
        <v>364</v>
      </c>
      <c r="B75" s="11"/>
      <c r="C75" s="11"/>
      <c r="D75" s="2" t="s">
        <v>3933</v>
      </c>
      <c r="E75" s="2" t="s">
        <v>2472</v>
      </c>
      <c r="F75" s="2" t="s">
        <v>3934</v>
      </c>
      <c r="G75" s="2" t="s">
        <v>3678</v>
      </c>
      <c r="H75" s="3">
        <v>3</v>
      </c>
      <c r="I75" s="2" t="s">
        <v>2474</v>
      </c>
      <c r="J75" s="4">
        <v>9165</v>
      </c>
      <c r="K75" s="2" t="s">
        <v>1062</v>
      </c>
      <c r="L75" s="2" t="s">
        <v>2</v>
      </c>
      <c r="M75" s="2" t="s">
        <v>2</v>
      </c>
    </row>
    <row r="76" spans="1:13" ht="24" customHeight="1" x14ac:dyDescent="0.3">
      <c r="A76" s="2" t="s">
        <v>546</v>
      </c>
      <c r="B76" s="11"/>
      <c r="C76" s="11"/>
      <c r="D76" s="2" t="s">
        <v>3935</v>
      </c>
      <c r="E76" s="2" t="s">
        <v>2489</v>
      </c>
      <c r="F76" s="2" t="s">
        <v>3936</v>
      </c>
      <c r="G76" s="2" t="s">
        <v>3678</v>
      </c>
      <c r="H76" s="3">
        <v>5</v>
      </c>
      <c r="I76" s="2" t="s">
        <v>2491</v>
      </c>
      <c r="J76" s="4">
        <v>54439</v>
      </c>
      <c r="K76" s="2" t="s">
        <v>3937</v>
      </c>
      <c r="L76" s="2" t="s">
        <v>2</v>
      </c>
      <c r="M76" s="2" t="s">
        <v>2</v>
      </c>
    </row>
    <row r="77" spans="1:13" ht="24" customHeight="1" x14ac:dyDescent="0.3">
      <c r="A77" s="2" t="s">
        <v>547</v>
      </c>
      <c r="B77" s="11"/>
      <c r="C77" s="11"/>
      <c r="D77" s="2" t="s">
        <v>3938</v>
      </c>
      <c r="E77" s="2" t="s">
        <v>3939</v>
      </c>
      <c r="F77" s="2" t="s">
        <v>3940</v>
      </c>
      <c r="G77" s="2" t="s">
        <v>3697</v>
      </c>
      <c r="H77" s="3">
        <v>7</v>
      </c>
      <c r="I77" s="2" t="s">
        <v>3941</v>
      </c>
      <c r="J77" s="4">
        <v>40898</v>
      </c>
      <c r="K77" s="2" t="s">
        <v>3503</v>
      </c>
      <c r="L77" s="2" t="s">
        <v>2</v>
      </c>
      <c r="M77" s="2" t="s">
        <v>2</v>
      </c>
    </row>
    <row r="78" spans="1:13" ht="24" customHeight="1" x14ac:dyDescent="0.3">
      <c r="A78" s="2" t="s">
        <v>548</v>
      </c>
      <c r="B78" s="11"/>
      <c r="C78" s="11"/>
      <c r="D78" s="2" t="s">
        <v>3942</v>
      </c>
      <c r="E78" s="2" t="s">
        <v>3943</v>
      </c>
      <c r="F78" s="2" t="s">
        <v>3944</v>
      </c>
      <c r="G78" s="2" t="s">
        <v>3682</v>
      </c>
      <c r="H78" s="3">
        <v>8</v>
      </c>
      <c r="I78" s="2" t="s">
        <v>2</v>
      </c>
      <c r="J78" s="4">
        <v>0</v>
      </c>
      <c r="K78" s="2" t="s">
        <v>556</v>
      </c>
      <c r="L78" s="2" t="s">
        <v>2</v>
      </c>
      <c r="M78" s="2" t="s">
        <v>2</v>
      </c>
    </row>
    <row r="79" spans="1:13" ht="24" customHeight="1" x14ac:dyDescent="0.3">
      <c r="A79" s="2" t="s">
        <v>549</v>
      </c>
      <c r="B79" s="11"/>
      <c r="C79" s="11"/>
      <c r="D79" s="2" t="s">
        <v>3945</v>
      </c>
      <c r="E79" s="2" t="s">
        <v>3604</v>
      </c>
      <c r="F79" s="2" t="s">
        <v>3946</v>
      </c>
      <c r="G79" s="2" t="s">
        <v>3682</v>
      </c>
      <c r="H79" s="3">
        <v>10</v>
      </c>
      <c r="I79" s="2" t="s">
        <v>3947</v>
      </c>
      <c r="J79" s="4">
        <v>0</v>
      </c>
      <c r="K79" s="2" t="s">
        <v>3619</v>
      </c>
      <c r="L79" s="2" t="s">
        <v>2</v>
      </c>
      <c r="M79" s="2" t="s">
        <v>2</v>
      </c>
    </row>
    <row r="80" spans="1:13" ht="24" customHeight="1" x14ac:dyDescent="0.3">
      <c r="A80" s="2" t="s">
        <v>550</v>
      </c>
      <c r="B80" s="11"/>
      <c r="C80" s="11"/>
      <c r="D80" s="2" t="s">
        <v>3948</v>
      </c>
      <c r="E80" s="2" t="s">
        <v>3949</v>
      </c>
      <c r="F80" s="2" t="s">
        <v>3950</v>
      </c>
      <c r="G80" s="2" t="s">
        <v>3679</v>
      </c>
      <c r="H80" s="3">
        <v>21</v>
      </c>
      <c r="I80" s="2" t="s">
        <v>3951</v>
      </c>
      <c r="J80" s="4">
        <v>2444</v>
      </c>
      <c r="K80" s="2" t="s">
        <v>3414</v>
      </c>
      <c r="L80" s="2" t="s">
        <v>2</v>
      </c>
      <c r="M80" s="2" t="s">
        <v>2</v>
      </c>
    </row>
    <row r="81" spans="1:13" ht="24" customHeight="1" x14ac:dyDescent="0.3">
      <c r="A81" s="2" t="s">
        <v>552</v>
      </c>
      <c r="B81" s="11"/>
      <c r="C81" s="11"/>
      <c r="D81" s="2" t="s">
        <v>3952</v>
      </c>
      <c r="E81" s="2" t="s">
        <v>2448</v>
      </c>
      <c r="F81" s="2" t="s">
        <v>3953</v>
      </c>
      <c r="G81" s="2" t="s">
        <v>3954</v>
      </c>
      <c r="H81" s="3">
        <v>3</v>
      </c>
      <c r="I81" s="2" t="s">
        <v>2445</v>
      </c>
      <c r="J81" s="4">
        <v>23</v>
      </c>
      <c r="K81" s="2" t="s">
        <v>3468</v>
      </c>
      <c r="L81" s="2" t="s">
        <v>2</v>
      </c>
      <c r="M81" s="2" t="s">
        <v>2</v>
      </c>
    </row>
    <row r="82" spans="1:13" ht="24" customHeight="1" x14ac:dyDescent="0.3">
      <c r="A82" s="2" t="s">
        <v>553</v>
      </c>
      <c r="B82" s="11"/>
      <c r="C82" s="11"/>
      <c r="D82" s="2" t="s">
        <v>3955</v>
      </c>
      <c r="E82" s="2" t="s">
        <v>2533</v>
      </c>
      <c r="F82" s="2" t="s">
        <v>3956</v>
      </c>
      <c r="G82" s="2" t="s">
        <v>2</v>
      </c>
      <c r="H82" s="3">
        <v>0</v>
      </c>
      <c r="I82" s="2" t="s">
        <v>2</v>
      </c>
      <c r="J82" s="4">
        <v>0</v>
      </c>
      <c r="K82" s="2" t="s">
        <v>161</v>
      </c>
      <c r="L82" s="2" t="s">
        <v>2</v>
      </c>
      <c r="M82" s="2" t="s">
        <v>2</v>
      </c>
    </row>
    <row r="83" spans="1:13" ht="24" customHeight="1" x14ac:dyDescent="0.3">
      <c r="A83" s="2" t="s">
        <v>554</v>
      </c>
      <c r="B83" s="11"/>
      <c r="C83" s="11" t="s">
        <v>60</v>
      </c>
      <c r="D83" s="2" t="s">
        <v>1011</v>
      </c>
      <c r="E83" s="2" t="s">
        <v>2629</v>
      </c>
      <c r="F83" s="2" t="s">
        <v>3957</v>
      </c>
      <c r="G83" s="2" t="s">
        <v>3678</v>
      </c>
      <c r="H83" s="3">
        <v>3</v>
      </c>
      <c r="I83" s="2" t="s">
        <v>2</v>
      </c>
      <c r="J83" s="4">
        <v>40</v>
      </c>
      <c r="K83" s="2" t="s">
        <v>942</v>
      </c>
      <c r="L83" s="2" t="s">
        <v>2</v>
      </c>
      <c r="M83" s="2" t="s">
        <v>2</v>
      </c>
    </row>
    <row r="84" spans="1:13" ht="24" customHeight="1" x14ac:dyDescent="0.3">
      <c r="A84" s="2" t="s">
        <v>646</v>
      </c>
      <c r="B84" s="11"/>
      <c r="C84" s="11"/>
      <c r="D84" s="2" t="s">
        <v>3958</v>
      </c>
      <c r="E84" s="2" t="s">
        <v>3959</v>
      </c>
      <c r="F84" s="2" t="s">
        <v>3960</v>
      </c>
      <c r="G84" s="2" t="s">
        <v>3678</v>
      </c>
      <c r="H84" s="3">
        <v>3</v>
      </c>
      <c r="I84" s="2" t="s">
        <v>3961</v>
      </c>
      <c r="J84" s="4">
        <v>175</v>
      </c>
      <c r="K84" s="2" t="s">
        <v>493</v>
      </c>
      <c r="L84" s="2" t="s">
        <v>2</v>
      </c>
      <c r="M84" s="2" t="s">
        <v>2</v>
      </c>
    </row>
    <row r="85" spans="1:13" ht="24" customHeight="1" x14ac:dyDescent="0.3">
      <c r="A85" s="2" t="s">
        <v>648</v>
      </c>
      <c r="B85" s="11"/>
      <c r="C85" s="11"/>
      <c r="D85" s="2" t="s">
        <v>3060</v>
      </c>
      <c r="E85" s="2" t="s">
        <v>3061</v>
      </c>
      <c r="F85" s="2" t="s">
        <v>3962</v>
      </c>
      <c r="G85" s="2" t="s">
        <v>3678</v>
      </c>
      <c r="H85" s="3">
        <v>5</v>
      </c>
      <c r="I85" s="2" t="s">
        <v>3063</v>
      </c>
      <c r="J85" s="4">
        <v>13343</v>
      </c>
      <c r="K85" s="2" t="s">
        <v>302</v>
      </c>
      <c r="L85" s="2" t="s">
        <v>2</v>
      </c>
      <c r="M85" s="2" t="s">
        <v>2</v>
      </c>
    </row>
    <row r="86" spans="1:13" ht="24" customHeight="1" x14ac:dyDescent="0.3">
      <c r="A86" s="2" t="s">
        <v>649</v>
      </c>
      <c r="B86" s="11"/>
      <c r="C86" s="11"/>
      <c r="D86" s="2" t="s">
        <v>3963</v>
      </c>
      <c r="E86" s="2" t="s">
        <v>710</v>
      </c>
      <c r="F86" s="2" t="s">
        <v>3964</v>
      </c>
      <c r="G86" s="2" t="s">
        <v>3678</v>
      </c>
      <c r="H86" s="3">
        <v>21</v>
      </c>
      <c r="I86" s="2" t="s">
        <v>3965</v>
      </c>
      <c r="J86" s="4">
        <v>30868</v>
      </c>
      <c r="K86" s="2" t="s">
        <v>3625</v>
      </c>
      <c r="L86" s="2" t="s">
        <v>2</v>
      </c>
      <c r="M86" s="2" t="s">
        <v>2</v>
      </c>
    </row>
    <row r="87" spans="1:13" ht="24" customHeight="1" x14ac:dyDescent="0.3">
      <c r="A87" s="2" t="s">
        <v>650</v>
      </c>
      <c r="B87" s="11"/>
      <c r="C87" s="11"/>
      <c r="D87" s="2" t="s">
        <v>3966</v>
      </c>
      <c r="E87" s="2" t="s">
        <v>2936</v>
      </c>
      <c r="F87" s="2" t="s">
        <v>3967</v>
      </c>
      <c r="G87" s="2" t="s">
        <v>3968</v>
      </c>
      <c r="H87" s="3">
        <v>5</v>
      </c>
      <c r="I87" s="2" t="s">
        <v>2</v>
      </c>
      <c r="J87" s="4">
        <v>0</v>
      </c>
      <c r="K87" s="2" t="s">
        <v>194</v>
      </c>
      <c r="L87" s="2" t="s">
        <v>2</v>
      </c>
      <c r="M87" s="2" t="s">
        <v>2</v>
      </c>
    </row>
    <row r="88" spans="1:13" ht="24" customHeight="1" x14ac:dyDescent="0.3">
      <c r="A88" s="2" t="s">
        <v>652</v>
      </c>
      <c r="B88" s="11"/>
      <c r="C88" s="11"/>
      <c r="D88" s="2" t="s">
        <v>3969</v>
      </c>
      <c r="E88" s="2" t="s">
        <v>3970</v>
      </c>
      <c r="F88" s="2" t="s">
        <v>3971</v>
      </c>
      <c r="G88" s="2" t="s">
        <v>3681</v>
      </c>
      <c r="H88" s="3">
        <v>39</v>
      </c>
      <c r="I88" s="2" t="s">
        <v>3972</v>
      </c>
      <c r="J88" s="4">
        <v>275525</v>
      </c>
      <c r="K88" s="2" t="s">
        <v>3973</v>
      </c>
      <c r="L88" s="2" t="s">
        <v>2</v>
      </c>
      <c r="M88" s="2" t="s">
        <v>2</v>
      </c>
    </row>
    <row r="89" spans="1:13" ht="24" customHeight="1" x14ac:dyDescent="0.3">
      <c r="A89" s="2" t="s">
        <v>653</v>
      </c>
      <c r="B89" s="11"/>
      <c r="C89" s="11"/>
      <c r="D89" s="2" t="s">
        <v>3974</v>
      </c>
      <c r="E89" s="2" t="s">
        <v>3975</v>
      </c>
      <c r="F89" s="2" t="s">
        <v>3976</v>
      </c>
      <c r="G89" s="2" t="s">
        <v>3694</v>
      </c>
      <c r="H89" s="3">
        <v>0</v>
      </c>
      <c r="I89" s="2" t="s">
        <v>3977</v>
      </c>
      <c r="J89" s="4">
        <v>0</v>
      </c>
      <c r="K89" s="2" t="s">
        <v>3579</v>
      </c>
      <c r="L89" s="2" t="s">
        <v>2</v>
      </c>
      <c r="M89" s="2" t="s">
        <v>2</v>
      </c>
    </row>
    <row r="90" spans="1:13" ht="24" customHeight="1" x14ac:dyDescent="0.3">
      <c r="A90" s="2" t="s">
        <v>655</v>
      </c>
      <c r="B90" s="11"/>
      <c r="C90" s="11"/>
      <c r="D90" s="2" t="s">
        <v>3978</v>
      </c>
      <c r="E90" s="2" t="s">
        <v>3531</v>
      </c>
      <c r="F90" s="2" t="s">
        <v>3979</v>
      </c>
      <c r="G90" s="2" t="s">
        <v>3678</v>
      </c>
      <c r="H90" s="3">
        <v>5</v>
      </c>
      <c r="I90" s="2" t="s">
        <v>3980</v>
      </c>
      <c r="J90" s="4">
        <v>320</v>
      </c>
      <c r="K90" s="2" t="s">
        <v>3529</v>
      </c>
      <c r="L90" s="2" t="s">
        <v>2</v>
      </c>
      <c r="M90" s="2" t="s">
        <v>2</v>
      </c>
    </row>
    <row r="91" spans="1:13" ht="24" customHeight="1" x14ac:dyDescent="0.3">
      <c r="A91" s="2" t="s">
        <v>656</v>
      </c>
      <c r="B91" s="11"/>
      <c r="C91" s="11"/>
      <c r="D91" s="2" t="s">
        <v>3981</v>
      </c>
      <c r="E91" s="2" t="s">
        <v>3982</v>
      </c>
      <c r="F91" s="2" t="s">
        <v>3983</v>
      </c>
      <c r="G91" s="2" t="s">
        <v>3678</v>
      </c>
      <c r="H91" s="3">
        <v>110</v>
      </c>
      <c r="I91" s="2" t="s">
        <v>3984</v>
      </c>
      <c r="J91" s="4">
        <v>0</v>
      </c>
      <c r="K91" s="2" t="s">
        <v>3589</v>
      </c>
      <c r="L91" s="2" t="s">
        <v>2</v>
      </c>
      <c r="M91" s="2" t="s">
        <v>2</v>
      </c>
    </row>
    <row r="92" spans="1:13" ht="24" customHeight="1" x14ac:dyDescent="0.3">
      <c r="A92" s="2" t="s">
        <v>657</v>
      </c>
      <c r="B92" s="11"/>
      <c r="C92" s="11"/>
      <c r="D92" s="2" t="s">
        <v>3985</v>
      </c>
      <c r="E92" s="2" t="s">
        <v>3662</v>
      </c>
      <c r="F92" s="2" t="s">
        <v>3986</v>
      </c>
      <c r="G92" s="2" t="s">
        <v>3678</v>
      </c>
      <c r="H92" s="3">
        <v>5</v>
      </c>
      <c r="I92" s="2" t="s">
        <v>3987</v>
      </c>
      <c r="J92" s="4">
        <v>29711</v>
      </c>
      <c r="K92" s="2" t="s">
        <v>2887</v>
      </c>
      <c r="L92" s="2" t="s">
        <v>2</v>
      </c>
      <c r="M92" s="2" t="s">
        <v>2</v>
      </c>
    </row>
    <row r="93" spans="1:13" ht="24" customHeight="1" x14ac:dyDescent="0.3">
      <c r="A93" s="2" t="s">
        <v>658</v>
      </c>
      <c r="B93" s="11"/>
      <c r="C93" s="11"/>
      <c r="D93" s="2" t="s">
        <v>3988</v>
      </c>
      <c r="E93" s="2" t="s">
        <v>959</v>
      </c>
      <c r="F93" s="2" t="s">
        <v>3989</v>
      </c>
      <c r="G93" s="2" t="s">
        <v>3990</v>
      </c>
      <c r="H93" s="3">
        <v>51</v>
      </c>
      <c r="I93" s="2" t="s">
        <v>3991</v>
      </c>
      <c r="J93" s="4">
        <v>1504797</v>
      </c>
      <c r="K93" s="2" t="s">
        <v>3502</v>
      </c>
      <c r="L93" s="2" t="s">
        <v>2</v>
      </c>
      <c r="M93" s="2" t="s">
        <v>2</v>
      </c>
    </row>
    <row r="94" spans="1:13" ht="24" customHeight="1" x14ac:dyDescent="0.3">
      <c r="A94" s="2" t="s">
        <v>659</v>
      </c>
      <c r="B94" s="11"/>
      <c r="C94" s="11"/>
      <c r="D94" s="2" t="s">
        <v>3992</v>
      </c>
      <c r="E94" s="2" t="s">
        <v>3993</v>
      </c>
      <c r="F94" s="2" t="s">
        <v>3994</v>
      </c>
      <c r="G94" s="2" t="s">
        <v>3678</v>
      </c>
      <c r="H94" s="3">
        <v>68</v>
      </c>
      <c r="I94" s="2" t="s">
        <v>3987</v>
      </c>
      <c r="J94" s="4">
        <v>929357</v>
      </c>
      <c r="K94" s="2" t="s">
        <v>3995</v>
      </c>
      <c r="L94" s="2" t="s">
        <v>2</v>
      </c>
      <c r="M94" s="2" t="s">
        <v>2</v>
      </c>
    </row>
    <row r="95" spans="1:13" ht="24" customHeight="1" x14ac:dyDescent="0.3">
      <c r="A95" s="2" t="s">
        <v>360</v>
      </c>
      <c r="B95" s="11"/>
      <c r="C95" s="11"/>
      <c r="D95" s="2" t="s">
        <v>3996</v>
      </c>
      <c r="E95" s="2" t="s">
        <v>3997</v>
      </c>
      <c r="F95" s="2" t="s">
        <v>3998</v>
      </c>
      <c r="G95" s="2" t="s">
        <v>3678</v>
      </c>
      <c r="H95" s="3">
        <v>6</v>
      </c>
      <c r="I95" s="2" t="s">
        <v>3999</v>
      </c>
      <c r="J95" s="4">
        <v>2511</v>
      </c>
      <c r="K95" s="2" t="s">
        <v>3490</v>
      </c>
      <c r="L95" s="2" t="s">
        <v>2</v>
      </c>
      <c r="M95" s="2" t="s">
        <v>2</v>
      </c>
    </row>
    <row r="96" spans="1:13" ht="24" customHeight="1" x14ac:dyDescent="0.3">
      <c r="A96" s="2" t="s">
        <v>660</v>
      </c>
      <c r="B96" s="11"/>
      <c r="C96" s="11"/>
      <c r="D96" s="2" t="s">
        <v>4000</v>
      </c>
      <c r="E96" s="2" t="s">
        <v>4001</v>
      </c>
      <c r="F96" s="2" t="s">
        <v>4002</v>
      </c>
      <c r="G96" s="2" t="s">
        <v>3678</v>
      </c>
      <c r="H96" s="3">
        <v>12</v>
      </c>
      <c r="I96" s="2" t="s">
        <v>4003</v>
      </c>
      <c r="J96" s="4">
        <v>30104</v>
      </c>
      <c r="K96" s="2" t="s">
        <v>4004</v>
      </c>
      <c r="L96" s="2" t="s">
        <v>2</v>
      </c>
      <c r="M96" s="2" t="s">
        <v>2</v>
      </c>
    </row>
    <row r="97" spans="1:13" ht="24" customHeight="1" x14ac:dyDescent="0.3">
      <c r="A97" s="2" t="s">
        <v>661</v>
      </c>
      <c r="B97" s="11"/>
      <c r="C97" s="11"/>
      <c r="D97" s="2" t="s">
        <v>4005</v>
      </c>
      <c r="E97" s="2" t="s">
        <v>4006</v>
      </c>
      <c r="F97" s="2" t="s">
        <v>4007</v>
      </c>
      <c r="G97" s="2" t="s">
        <v>3682</v>
      </c>
      <c r="H97" s="3">
        <v>1</v>
      </c>
      <c r="I97" s="2" t="s">
        <v>4008</v>
      </c>
      <c r="J97" s="4">
        <v>0</v>
      </c>
      <c r="K97" s="2" t="s">
        <v>3391</v>
      </c>
      <c r="L97" s="2" t="s">
        <v>2</v>
      </c>
      <c r="M97" s="2" t="s">
        <v>2</v>
      </c>
    </row>
    <row r="98" spans="1:13" ht="24" customHeight="1" x14ac:dyDescent="0.3">
      <c r="A98" s="2" t="s">
        <v>365</v>
      </c>
      <c r="B98" s="11"/>
      <c r="C98" s="11"/>
      <c r="D98" s="2" t="s">
        <v>4009</v>
      </c>
      <c r="E98" s="2" t="s">
        <v>4010</v>
      </c>
      <c r="F98" s="2" t="s">
        <v>4011</v>
      </c>
      <c r="G98" s="2" t="s">
        <v>3695</v>
      </c>
      <c r="H98" s="3">
        <v>13</v>
      </c>
      <c r="I98" s="2" t="s">
        <v>2</v>
      </c>
      <c r="J98" s="4">
        <v>4591</v>
      </c>
      <c r="K98" s="2" t="s">
        <v>4012</v>
      </c>
      <c r="L98" s="2" t="s">
        <v>2</v>
      </c>
      <c r="M98" s="2" t="s">
        <v>2</v>
      </c>
    </row>
    <row r="99" spans="1:13" ht="24" customHeight="1" x14ac:dyDescent="0.3">
      <c r="A99" s="2" t="s">
        <v>663</v>
      </c>
      <c r="B99" s="11"/>
      <c r="C99" s="11"/>
      <c r="D99" s="2" t="s">
        <v>4013</v>
      </c>
      <c r="E99" s="2" t="s">
        <v>4014</v>
      </c>
      <c r="F99" s="2" t="s">
        <v>4015</v>
      </c>
      <c r="G99" s="2" t="s">
        <v>3742</v>
      </c>
      <c r="H99" s="3">
        <v>4</v>
      </c>
      <c r="I99" s="2" t="s">
        <v>4016</v>
      </c>
      <c r="J99" s="4">
        <v>107</v>
      </c>
      <c r="K99" s="2" t="s">
        <v>4017</v>
      </c>
      <c r="L99" s="2" t="s">
        <v>2</v>
      </c>
      <c r="M99" s="2" t="s">
        <v>2</v>
      </c>
    </row>
    <row r="100" spans="1:13" ht="24" customHeight="1" x14ac:dyDescent="0.3">
      <c r="A100" s="2" t="s">
        <v>664</v>
      </c>
      <c r="B100" s="11"/>
      <c r="C100" s="11"/>
      <c r="D100" s="2" t="s">
        <v>4018</v>
      </c>
      <c r="E100" s="2" t="s">
        <v>4019</v>
      </c>
      <c r="F100" s="2" t="s">
        <v>4020</v>
      </c>
      <c r="G100" s="2" t="s">
        <v>3682</v>
      </c>
      <c r="H100" s="3">
        <v>3</v>
      </c>
      <c r="I100" s="2" t="s">
        <v>753</v>
      </c>
      <c r="J100" s="4">
        <v>0</v>
      </c>
      <c r="K100" s="2" t="s">
        <v>3606</v>
      </c>
      <c r="L100" s="2" t="s">
        <v>2</v>
      </c>
      <c r="M100" s="2" t="s">
        <v>2</v>
      </c>
    </row>
    <row r="101" spans="1:13" ht="24" customHeight="1" x14ac:dyDescent="0.3">
      <c r="A101" s="2" t="s">
        <v>665</v>
      </c>
      <c r="B101" s="11"/>
      <c r="C101" s="11"/>
      <c r="D101" s="2" t="s">
        <v>4021</v>
      </c>
      <c r="E101" s="2" t="s">
        <v>4022</v>
      </c>
      <c r="F101" s="2" t="s">
        <v>4023</v>
      </c>
      <c r="G101" s="2" t="s">
        <v>3678</v>
      </c>
      <c r="H101" s="3">
        <v>9</v>
      </c>
      <c r="I101" s="2" t="s">
        <v>4024</v>
      </c>
      <c r="J101" s="4">
        <v>10467</v>
      </c>
      <c r="K101" s="2" t="s">
        <v>3450</v>
      </c>
      <c r="L101" s="2" t="s">
        <v>2</v>
      </c>
      <c r="M101" s="2" t="s">
        <v>2</v>
      </c>
    </row>
    <row r="102" spans="1:13" ht="24" customHeight="1" x14ac:dyDescent="0.3">
      <c r="A102" s="2" t="s">
        <v>666</v>
      </c>
      <c r="B102" s="11"/>
      <c r="C102" s="11"/>
      <c r="D102" s="2" t="s">
        <v>3037</v>
      </c>
      <c r="E102" s="2" t="s">
        <v>3038</v>
      </c>
      <c r="F102" s="2" t="s">
        <v>4025</v>
      </c>
      <c r="G102" s="2" t="s">
        <v>3678</v>
      </c>
      <c r="H102" s="3">
        <v>3</v>
      </c>
      <c r="I102" s="2" t="s">
        <v>4026</v>
      </c>
      <c r="J102" s="4">
        <v>9</v>
      </c>
      <c r="K102" s="2" t="s">
        <v>2698</v>
      </c>
      <c r="L102" s="2" t="s">
        <v>2</v>
      </c>
      <c r="M102" s="2" t="s">
        <v>2</v>
      </c>
    </row>
    <row r="103" spans="1:13" ht="24" customHeight="1" x14ac:dyDescent="0.3">
      <c r="A103" s="2" t="s">
        <v>667</v>
      </c>
      <c r="B103" s="11"/>
      <c r="C103" s="11"/>
      <c r="D103" s="2" t="s">
        <v>4027</v>
      </c>
      <c r="E103" s="2" t="s">
        <v>4028</v>
      </c>
      <c r="F103" s="2" t="s">
        <v>4029</v>
      </c>
      <c r="G103" s="2" t="s">
        <v>3718</v>
      </c>
      <c r="H103" s="3">
        <v>17</v>
      </c>
      <c r="I103" s="2" t="s">
        <v>4030</v>
      </c>
      <c r="J103" s="4">
        <v>99340</v>
      </c>
      <c r="K103" s="2" t="s">
        <v>3403</v>
      </c>
      <c r="L103" s="2" t="s">
        <v>2</v>
      </c>
      <c r="M103" s="2" t="s">
        <v>2</v>
      </c>
    </row>
    <row r="104" spans="1:13" ht="24" customHeight="1" x14ac:dyDescent="0.3">
      <c r="A104" s="2" t="s">
        <v>669</v>
      </c>
      <c r="B104" s="11"/>
      <c r="C104" s="11"/>
      <c r="D104" s="2" t="s">
        <v>4031</v>
      </c>
      <c r="E104" s="2" t="s">
        <v>4032</v>
      </c>
      <c r="F104" s="2" t="s">
        <v>4033</v>
      </c>
      <c r="G104" s="2" t="s">
        <v>3682</v>
      </c>
      <c r="H104" s="3">
        <v>15</v>
      </c>
      <c r="I104" s="2" t="s">
        <v>4034</v>
      </c>
      <c r="J104" s="4">
        <v>0</v>
      </c>
      <c r="K104" s="2" t="s">
        <v>3502</v>
      </c>
      <c r="L104" s="2" t="s">
        <v>2</v>
      </c>
      <c r="M104" s="2" t="s">
        <v>2</v>
      </c>
    </row>
    <row r="105" spans="1:13" ht="24" customHeight="1" x14ac:dyDescent="0.3">
      <c r="A105" s="2" t="s">
        <v>670</v>
      </c>
      <c r="B105" s="11"/>
      <c r="C105" s="11"/>
      <c r="D105" s="2" t="s">
        <v>4035</v>
      </c>
      <c r="E105" s="2" t="s">
        <v>4036</v>
      </c>
      <c r="F105" s="2" t="s">
        <v>4037</v>
      </c>
      <c r="G105" s="2" t="s">
        <v>4038</v>
      </c>
      <c r="H105" s="3">
        <v>11</v>
      </c>
      <c r="I105" s="2" t="s">
        <v>4039</v>
      </c>
      <c r="J105" s="4">
        <v>0</v>
      </c>
      <c r="K105" s="2" t="s">
        <v>3554</v>
      </c>
      <c r="L105" s="2" t="s">
        <v>2</v>
      </c>
      <c r="M105" s="2" t="s">
        <v>2</v>
      </c>
    </row>
    <row r="106" spans="1:13" ht="24" customHeight="1" x14ac:dyDescent="0.3">
      <c r="A106" s="2" t="s">
        <v>672</v>
      </c>
      <c r="B106" s="11"/>
      <c r="C106" s="11"/>
      <c r="D106" s="2" t="s">
        <v>4040</v>
      </c>
      <c r="E106" s="2" t="s">
        <v>3605</v>
      </c>
      <c r="F106" s="2" t="s">
        <v>4041</v>
      </c>
      <c r="G106" s="2" t="s">
        <v>4042</v>
      </c>
      <c r="H106" s="3">
        <v>4</v>
      </c>
      <c r="I106" s="2" t="s">
        <v>4043</v>
      </c>
      <c r="J106" s="4">
        <v>0</v>
      </c>
      <c r="K106" s="2" t="s">
        <v>4044</v>
      </c>
      <c r="L106" s="2" t="s">
        <v>2</v>
      </c>
      <c r="M106" s="2" t="s">
        <v>2</v>
      </c>
    </row>
    <row r="107" spans="1:13" ht="24" customHeight="1" x14ac:dyDescent="0.3">
      <c r="A107" s="2" t="s">
        <v>673</v>
      </c>
      <c r="B107" s="11"/>
      <c r="C107" s="11"/>
      <c r="D107" s="2" t="s">
        <v>4045</v>
      </c>
      <c r="E107" s="2" t="s">
        <v>3536</v>
      </c>
      <c r="F107" s="2" t="s">
        <v>4046</v>
      </c>
      <c r="G107" s="2" t="s">
        <v>3678</v>
      </c>
      <c r="H107" s="3">
        <v>16</v>
      </c>
      <c r="I107" s="2" t="s">
        <v>4047</v>
      </c>
      <c r="J107" s="4">
        <v>292141</v>
      </c>
      <c r="K107" s="2" t="s">
        <v>4048</v>
      </c>
      <c r="L107" s="2" t="s">
        <v>2</v>
      </c>
      <c r="M107" s="2" t="s">
        <v>2</v>
      </c>
    </row>
    <row r="108" spans="1:13" ht="24" customHeight="1" x14ac:dyDescent="0.3">
      <c r="A108" s="2" t="s">
        <v>675</v>
      </c>
      <c r="B108" s="11"/>
      <c r="C108" s="11"/>
      <c r="D108" s="2" t="s">
        <v>3155</v>
      </c>
      <c r="E108" s="2" t="s">
        <v>3156</v>
      </c>
      <c r="F108" s="2" t="s">
        <v>4049</v>
      </c>
      <c r="G108" s="2" t="s">
        <v>4050</v>
      </c>
      <c r="H108" s="3">
        <v>4</v>
      </c>
      <c r="I108" s="2" t="s">
        <v>3158</v>
      </c>
      <c r="J108" s="4">
        <v>1795</v>
      </c>
      <c r="K108" s="2" t="s">
        <v>3386</v>
      </c>
      <c r="L108" s="2" t="s">
        <v>2</v>
      </c>
      <c r="M108" s="2" t="s">
        <v>2</v>
      </c>
    </row>
    <row r="109" spans="1:13" ht="24" customHeight="1" x14ac:dyDescent="0.3">
      <c r="A109" s="2" t="s">
        <v>676</v>
      </c>
      <c r="B109" s="11"/>
      <c r="C109" s="11"/>
      <c r="D109" s="2" t="s">
        <v>4051</v>
      </c>
      <c r="E109" s="2" t="s">
        <v>4052</v>
      </c>
      <c r="F109" s="2" t="s">
        <v>4053</v>
      </c>
      <c r="G109" s="2" t="s">
        <v>4054</v>
      </c>
      <c r="H109" s="3">
        <v>6</v>
      </c>
      <c r="I109" s="2" t="s">
        <v>4055</v>
      </c>
      <c r="J109" s="4">
        <v>76542</v>
      </c>
      <c r="K109" s="2" t="s">
        <v>4056</v>
      </c>
      <c r="L109" s="2" t="s">
        <v>2</v>
      </c>
      <c r="M109" s="2" t="s">
        <v>2</v>
      </c>
    </row>
    <row r="110" spans="1:13" ht="24" customHeight="1" x14ac:dyDescent="0.3">
      <c r="A110" s="2" t="s">
        <v>677</v>
      </c>
      <c r="B110" s="11"/>
      <c r="C110" s="11"/>
      <c r="D110" s="2" t="s">
        <v>4057</v>
      </c>
      <c r="E110" s="2" t="s">
        <v>3648</v>
      </c>
      <c r="F110" s="2" t="s">
        <v>4058</v>
      </c>
      <c r="G110" s="2" t="s">
        <v>3678</v>
      </c>
      <c r="H110" s="3">
        <v>7</v>
      </c>
      <c r="I110" s="2" t="s">
        <v>4059</v>
      </c>
      <c r="J110" s="4">
        <v>175421</v>
      </c>
      <c r="K110" s="2" t="s">
        <v>4060</v>
      </c>
      <c r="L110" s="2" t="s">
        <v>2</v>
      </c>
      <c r="M110" s="2" t="s">
        <v>2</v>
      </c>
    </row>
    <row r="111" spans="1:13" ht="24" customHeight="1" x14ac:dyDescent="0.3">
      <c r="A111" s="2" t="s">
        <v>678</v>
      </c>
      <c r="B111" s="11"/>
      <c r="C111" s="11" t="s">
        <v>65</v>
      </c>
      <c r="D111" s="2" t="s">
        <v>4061</v>
      </c>
      <c r="E111" s="2" t="s">
        <v>3279</v>
      </c>
      <c r="F111" s="2" t="s">
        <v>4062</v>
      </c>
      <c r="G111" s="2" t="s">
        <v>3678</v>
      </c>
      <c r="H111" s="3">
        <v>6</v>
      </c>
      <c r="I111" s="2" t="s">
        <v>3281</v>
      </c>
      <c r="J111" s="4">
        <v>11650</v>
      </c>
      <c r="K111" s="2" t="s">
        <v>4063</v>
      </c>
      <c r="L111" s="2" t="s">
        <v>2</v>
      </c>
      <c r="M111" s="2" t="s">
        <v>2</v>
      </c>
    </row>
    <row r="112" spans="1:13" ht="24" customHeight="1" x14ac:dyDescent="0.3">
      <c r="A112" s="2" t="s">
        <v>679</v>
      </c>
      <c r="B112" s="11"/>
      <c r="C112" s="11"/>
      <c r="D112" s="2" t="s">
        <v>4064</v>
      </c>
      <c r="E112" s="2" t="s">
        <v>988</v>
      </c>
      <c r="F112" s="2" t="s">
        <v>4065</v>
      </c>
      <c r="G112" s="2" t="s">
        <v>3683</v>
      </c>
      <c r="H112" s="3">
        <v>10</v>
      </c>
      <c r="I112" s="2" t="s">
        <v>2</v>
      </c>
      <c r="J112" s="4">
        <v>6272</v>
      </c>
      <c r="K112" s="2" t="s">
        <v>4066</v>
      </c>
      <c r="L112" s="2" t="s">
        <v>2</v>
      </c>
      <c r="M112" s="2" t="s">
        <v>2</v>
      </c>
    </row>
    <row r="113" spans="1:13" ht="24" customHeight="1" x14ac:dyDescent="0.3">
      <c r="A113" s="2" t="s">
        <v>680</v>
      </c>
      <c r="B113" s="11"/>
      <c r="C113" s="11"/>
      <c r="D113" s="2" t="s">
        <v>4067</v>
      </c>
      <c r="E113" s="2" t="s">
        <v>4068</v>
      </c>
      <c r="F113" s="2" t="s">
        <v>4069</v>
      </c>
      <c r="G113" s="2" t="s">
        <v>3680</v>
      </c>
      <c r="H113" s="3">
        <v>15</v>
      </c>
      <c r="I113" s="2" t="s">
        <v>4070</v>
      </c>
      <c r="J113" s="4">
        <v>215</v>
      </c>
      <c r="K113" s="2" t="s">
        <v>3667</v>
      </c>
      <c r="L113" s="2" t="s">
        <v>2</v>
      </c>
      <c r="M113" s="2" t="s">
        <v>2</v>
      </c>
    </row>
    <row r="114" spans="1:13" ht="24" customHeight="1" x14ac:dyDescent="0.3">
      <c r="A114" s="2" t="s">
        <v>682</v>
      </c>
      <c r="B114" s="11"/>
      <c r="C114" s="11"/>
      <c r="D114" s="2" t="s">
        <v>4071</v>
      </c>
      <c r="E114" s="2" t="s">
        <v>3290</v>
      </c>
      <c r="F114" s="2" t="s">
        <v>4072</v>
      </c>
      <c r="G114" s="2" t="s">
        <v>3678</v>
      </c>
      <c r="H114" s="3">
        <v>6</v>
      </c>
      <c r="I114" s="2" t="s">
        <v>3292</v>
      </c>
      <c r="J114" s="4">
        <v>80816</v>
      </c>
      <c r="K114" s="2" t="s">
        <v>4073</v>
      </c>
      <c r="L114" s="2" t="s">
        <v>2</v>
      </c>
      <c r="M114" s="2" t="s">
        <v>2</v>
      </c>
    </row>
    <row r="115" spans="1:13" ht="24" customHeight="1" x14ac:dyDescent="0.3">
      <c r="A115" s="2" t="s">
        <v>683</v>
      </c>
      <c r="B115" s="11"/>
      <c r="C115" s="11" t="s">
        <v>68</v>
      </c>
      <c r="D115" s="2" t="s">
        <v>4074</v>
      </c>
      <c r="E115" s="2" t="s">
        <v>4075</v>
      </c>
      <c r="F115" s="2" t="s">
        <v>4076</v>
      </c>
      <c r="G115" s="2" t="s">
        <v>3678</v>
      </c>
      <c r="H115" s="3">
        <v>6</v>
      </c>
      <c r="I115" s="2" t="s">
        <v>4077</v>
      </c>
      <c r="J115" s="4">
        <v>50414</v>
      </c>
      <c r="K115" s="2" t="s">
        <v>3423</v>
      </c>
      <c r="L115" s="2" t="s">
        <v>2</v>
      </c>
      <c r="M115" s="2" t="s">
        <v>2</v>
      </c>
    </row>
  </sheetData>
  <autoFilter ref="A4:M4" xr:uid="{00000000-0009-0000-0000-000008000000}"/>
  <mergeCells count="14">
    <mergeCell ref="A1:M1"/>
    <mergeCell ref="A2:M2"/>
    <mergeCell ref="B5:B115"/>
    <mergeCell ref="C5"/>
    <mergeCell ref="C6:C14"/>
    <mergeCell ref="C15:C19"/>
    <mergeCell ref="C20:C27"/>
    <mergeCell ref="C28:C34"/>
    <mergeCell ref="C35:C45"/>
    <mergeCell ref="C46:C62"/>
    <mergeCell ref="C63:C82"/>
    <mergeCell ref="C83:C110"/>
    <mergeCell ref="C111:C114"/>
    <mergeCell ref="C115"/>
  </mergeCells>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3"/>
  <sheetViews>
    <sheetView workbookViewId="0">
      <pane xSplit="5" ySplit="6" topLeftCell="F7" activePane="bottomRight" state="frozen"/>
      <selection pane="topRight"/>
      <selection pane="bottomLeft"/>
      <selection pane="bottomRight" sqref="A1:AF1"/>
    </sheetView>
  </sheetViews>
  <sheetFormatPr defaultRowHeight="16.5" x14ac:dyDescent="0.3"/>
  <cols>
    <col min="1" max="1" width="6" customWidth="1"/>
    <col min="2" max="3" width="12.625" customWidth="1"/>
    <col min="4" max="4" width="17.875" customWidth="1"/>
    <col min="5" max="5" width="12.625" customWidth="1"/>
    <col min="6" max="6" width="26.75" customWidth="1"/>
    <col min="7" max="7" width="10.375" customWidth="1"/>
    <col min="8" max="8" width="20.75" customWidth="1"/>
    <col min="9" max="9" width="17.875" customWidth="1"/>
    <col min="10" max="10" width="12.75" customWidth="1"/>
    <col min="11" max="14" width="12.625" customWidth="1"/>
    <col min="15" max="15" width="14.25" customWidth="1"/>
    <col min="16" max="20" width="10.375" customWidth="1"/>
    <col min="21" max="23" width="12.625" customWidth="1"/>
    <col min="24" max="24" width="12.75" customWidth="1"/>
    <col min="25" max="25" width="12.625" customWidth="1"/>
    <col min="26" max="31" width="10.375" customWidth="1"/>
    <col min="32" max="32" width="12.625" customWidth="1"/>
  </cols>
  <sheetData>
    <row r="1" spans="1:32" ht="18.75" x14ac:dyDescent="0.3">
      <c r="A1" s="8" t="s">
        <v>4105</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spans="1:32" x14ac:dyDescent="0.3">
      <c r="A2" s="9" t="s">
        <v>4106</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row>
    <row r="3" spans="1:32"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t="s">
        <v>2</v>
      </c>
    </row>
    <row r="4" spans="1:32" ht="45" customHeight="1" x14ac:dyDescent="0.3">
      <c r="A4" s="10" t="s">
        <v>3</v>
      </c>
      <c r="B4" s="10" t="s">
        <v>4</v>
      </c>
      <c r="C4" s="10" t="s">
        <v>5</v>
      </c>
      <c r="D4" s="10" t="s">
        <v>382</v>
      </c>
      <c r="E4" s="10" t="s">
        <v>383</v>
      </c>
      <c r="F4" s="10" t="s">
        <v>7</v>
      </c>
      <c r="G4" s="10" t="s">
        <v>627</v>
      </c>
      <c r="H4" s="10"/>
      <c r="I4" s="10"/>
      <c r="J4" s="10"/>
      <c r="K4" s="10" t="s">
        <v>9</v>
      </c>
      <c r="L4" s="10" t="s">
        <v>4107</v>
      </c>
      <c r="M4" s="10" t="s">
        <v>11</v>
      </c>
      <c r="N4" s="10" t="s">
        <v>12</v>
      </c>
      <c r="O4" s="10" t="s">
        <v>13</v>
      </c>
      <c r="P4" s="10" t="s">
        <v>14</v>
      </c>
      <c r="Q4" s="10"/>
      <c r="R4" s="10"/>
      <c r="S4" s="10"/>
      <c r="T4" s="10"/>
      <c r="U4" s="10" t="s">
        <v>384</v>
      </c>
      <c r="V4" s="10" t="s">
        <v>18</v>
      </c>
      <c r="W4" s="10" t="s">
        <v>19</v>
      </c>
      <c r="X4" s="10" t="s">
        <v>20</v>
      </c>
      <c r="Y4" s="10" t="s">
        <v>21</v>
      </c>
      <c r="Z4" s="10"/>
      <c r="AA4" s="10"/>
      <c r="AB4" s="10"/>
      <c r="AC4" s="10"/>
      <c r="AD4" s="10"/>
      <c r="AE4" s="10"/>
      <c r="AF4" s="10" t="s">
        <v>22</v>
      </c>
    </row>
    <row r="5" spans="1:32" ht="36" customHeight="1" x14ac:dyDescent="0.3">
      <c r="A5" s="10"/>
      <c r="B5" s="10"/>
      <c r="C5" s="10"/>
      <c r="D5" s="10"/>
      <c r="E5" s="10"/>
      <c r="F5" s="10"/>
      <c r="G5" s="10"/>
      <c r="H5" s="10"/>
      <c r="I5" s="10"/>
      <c r="J5" s="10"/>
      <c r="K5" s="10"/>
      <c r="L5" s="10"/>
      <c r="M5" s="10"/>
      <c r="N5" s="10"/>
      <c r="O5" s="10"/>
      <c r="P5" s="10"/>
      <c r="Q5" s="10"/>
      <c r="R5" s="10"/>
      <c r="S5" s="10"/>
      <c r="T5" s="10"/>
      <c r="U5" s="10"/>
      <c r="V5" s="10"/>
      <c r="W5" s="10"/>
      <c r="X5" s="10"/>
      <c r="Y5" s="10" t="s">
        <v>385</v>
      </c>
      <c r="Z5" s="10" t="s">
        <v>24</v>
      </c>
      <c r="AA5" s="10"/>
      <c r="AB5" s="10"/>
      <c r="AC5" s="10" t="s">
        <v>25</v>
      </c>
      <c r="AD5" s="10"/>
      <c r="AE5" s="10"/>
      <c r="AF5" s="10"/>
    </row>
    <row r="6" spans="1:32" ht="36" customHeight="1" x14ac:dyDescent="0.3">
      <c r="A6" s="10" t="s">
        <v>2</v>
      </c>
      <c r="B6" s="10"/>
      <c r="C6" s="10"/>
      <c r="D6" s="10"/>
      <c r="E6" s="10"/>
      <c r="F6" s="10"/>
      <c r="G6" s="1" t="s">
        <v>26</v>
      </c>
      <c r="H6" s="1" t="s">
        <v>27</v>
      </c>
      <c r="I6" s="1" t="s">
        <v>28</v>
      </c>
      <c r="J6" s="1" t="s">
        <v>29</v>
      </c>
      <c r="K6" s="1" t="s">
        <v>30</v>
      </c>
      <c r="L6" s="1" t="s">
        <v>31</v>
      </c>
      <c r="M6" s="10"/>
      <c r="N6" s="10"/>
      <c r="O6" s="1" t="s">
        <v>32</v>
      </c>
      <c r="P6" s="1" t="s">
        <v>33</v>
      </c>
      <c r="Q6" s="1" t="s">
        <v>34</v>
      </c>
      <c r="R6" s="1" t="s">
        <v>35</v>
      </c>
      <c r="S6" s="1" t="s">
        <v>36</v>
      </c>
      <c r="T6" s="1" t="s">
        <v>37</v>
      </c>
      <c r="U6" s="10"/>
      <c r="V6" s="10"/>
      <c r="W6" s="10"/>
      <c r="X6" s="10"/>
      <c r="Y6" s="10"/>
      <c r="Z6" s="1" t="s">
        <v>40</v>
      </c>
      <c r="AA6" s="1" t="s">
        <v>41</v>
      </c>
      <c r="AB6" s="1" t="s">
        <v>42</v>
      </c>
      <c r="AC6" s="1" t="s">
        <v>40</v>
      </c>
      <c r="AD6" s="1" t="s">
        <v>43</v>
      </c>
      <c r="AE6" s="1" t="s">
        <v>44</v>
      </c>
      <c r="AF6" s="1" t="s">
        <v>2</v>
      </c>
    </row>
    <row r="7" spans="1:32" ht="24" customHeight="1" x14ac:dyDescent="0.3">
      <c r="A7" s="2" t="s">
        <v>272</v>
      </c>
      <c r="B7" s="11" t="s">
        <v>55</v>
      </c>
      <c r="C7" s="11" t="s">
        <v>40</v>
      </c>
      <c r="D7" s="2" t="s">
        <v>2</v>
      </c>
      <c r="E7" s="2" t="s">
        <v>2</v>
      </c>
      <c r="F7" s="2" t="s">
        <v>2</v>
      </c>
      <c r="G7" s="2" t="s">
        <v>2</v>
      </c>
      <c r="H7" s="2" t="s">
        <v>2</v>
      </c>
      <c r="I7" s="2" t="s">
        <v>2</v>
      </c>
      <c r="J7" s="2" t="s">
        <v>2</v>
      </c>
      <c r="K7" s="4">
        <v>568.79999999999995</v>
      </c>
      <c r="L7" s="3">
        <v>24</v>
      </c>
      <c r="M7" s="2" t="s">
        <v>2</v>
      </c>
      <c r="N7" s="2" t="s">
        <v>2</v>
      </c>
      <c r="O7" s="4">
        <v>206400.6</v>
      </c>
      <c r="P7" s="4">
        <f t="shared" ref="P7:P13" si="0">SUM(Q7:T7)</f>
        <v>69335.3</v>
      </c>
      <c r="Q7" s="4">
        <v>40819.5</v>
      </c>
      <c r="R7" s="4">
        <v>0</v>
      </c>
      <c r="S7" s="4">
        <v>28034.5</v>
      </c>
      <c r="T7" s="4">
        <v>481.3</v>
      </c>
      <c r="U7" s="2" t="s">
        <v>2</v>
      </c>
      <c r="V7" s="2" t="s">
        <v>2</v>
      </c>
      <c r="W7" s="2" t="s">
        <v>2</v>
      </c>
      <c r="X7" s="4">
        <v>471928.2</v>
      </c>
      <c r="Y7" s="4">
        <f t="shared" ref="Y7:Y13" si="1">SUM(AA7,AB7,AD7,AE7)</f>
        <v>396881.3</v>
      </c>
      <c r="Z7" s="4">
        <f t="shared" ref="Z7:Z13" si="2">SUM(AA7:AB7)</f>
        <v>363739.8</v>
      </c>
      <c r="AA7" s="4">
        <v>363739.8</v>
      </c>
      <c r="AB7" s="4">
        <v>0</v>
      </c>
      <c r="AC7" s="4">
        <f t="shared" ref="AC7:AC13" si="3">SUM(AD7:AE7)</f>
        <v>33141.5</v>
      </c>
      <c r="AD7" s="4">
        <v>29206.5</v>
      </c>
      <c r="AE7" s="4">
        <v>3935</v>
      </c>
      <c r="AF7" s="2" t="s">
        <v>2</v>
      </c>
    </row>
    <row r="8" spans="1:32" ht="24" customHeight="1" x14ac:dyDescent="0.3">
      <c r="A8" s="2" t="s">
        <v>46</v>
      </c>
      <c r="B8" s="11"/>
      <c r="C8" s="11" t="s">
        <v>182</v>
      </c>
      <c r="D8" s="2" t="s">
        <v>4108</v>
      </c>
      <c r="E8" s="2" t="s">
        <v>588</v>
      </c>
      <c r="F8" s="2" t="s">
        <v>4109</v>
      </c>
      <c r="G8" s="2" t="s">
        <v>26</v>
      </c>
      <c r="H8" s="2" t="s">
        <v>124</v>
      </c>
      <c r="I8" s="2" t="s">
        <v>28</v>
      </c>
      <c r="J8" s="2" t="s">
        <v>29</v>
      </c>
      <c r="K8" s="4">
        <v>140</v>
      </c>
      <c r="L8" s="3">
        <v>24</v>
      </c>
      <c r="M8" s="2" t="s">
        <v>47</v>
      </c>
      <c r="N8" s="2" t="s">
        <v>48</v>
      </c>
      <c r="O8" s="4">
        <v>31685.5</v>
      </c>
      <c r="P8" s="4">
        <f t="shared" si="0"/>
        <v>2483.8999999999996</v>
      </c>
      <c r="Q8" s="4">
        <v>992.8</v>
      </c>
      <c r="R8" s="4">
        <v>0</v>
      </c>
      <c r="S8" s="4">
        <v>1491.1</v>
      </c>
      <c r="T8" s="4">
        <v>0</v>
      </c>
      <c r="U8" s="2" t="s">
        <v>4110</v>
      </c>
      <c r="V8" s="2" t="s">
        <v>524</v>
      </c>
      <c r="W8" s="2" t="s">
        <v>2</v>
      </c>
      <c r="X8" s="4">
        <v>44712</v>
      </c>
      <c r="Y8" s="4">
        <f t="shared" si="1"/>
        <v>35640</v>
      </c>
      <c r="Z8" s="4">
        <f t="shared" si="2"/>
        <v>25691</v>
      </c>
      <c r="AA8" s="4">
        <v>25691</v>
      </c>
      <c r="AB8" s="4">
        <v>0</v>
      </c>
      <c r="AC8" s="4">
        <f t="shared" si="3"/>
        <v>9949</v>
      </c>
      <c r="AD8" s="4">
        <v>9949</v>
      </c>
      <c r="AE8" s="4">
        <v>0</v>
      </c>
      <c r="AF8" s="2" t="s">
        <v>2</v>
      </c>
    </row>
    <row r="9" spans="1:32" ht="24" customHeight="1" x14ac:dyDescent="0.3">
      <c r="A9" s="2" t="s">
        <v>49</v>
      </c>
      <c r="B9" s="11"/>
      <c r="C9" s="11" t="s">
        <v>211</v>
      </c>
      <c r="D9" s="2" t="s">
        <v>1868</v>
      </c>
      <c r="E9" s="2" t="s">
        <v>405</v>
      </c>
      <c r="F9" s="2" t="s">
        <v>4111</v>
      </c>
      <c r="G9" s="2" t="s">
        <v>2</v>
      </c>
      <c r="H9" s="2" t="s">
        <v>124</v>
      </c>
      <c r="I9" s="2" t="s">
        <v>28</v>
      </c>
      <c r="J9" s="2" t="s">
        <v>2</v>
      </c>
      <c r="K9" s="4">
        <v>96</v>
      </c>
      <c r="L9" s="3">
        <v>24</v>
      </c>
      <c r="M9" s="2" t="s">
        <v>47</v>
      </c>
      <c r="N9" s="2" t="s">
        <v>72</v>
      </c>
      <c r="O9" s="4">
        <v>38299</v>
      </c>
      <c r="P9" s="4">
        <f t="shared" si="0"/>
        <v>14483.099999999999</v>
      </c>
      <c r="Q9" s="4">
        <v>13609.8</v>
      </c>
      <c r="R9" s="4">
        <v>0</v>
      </c>
      <c r="S9" s="4">
        <v>455.4</v>
      </c>
      <c r="T9" s="4">
        <v>417.9</v>
      </c>
      <c r="U9" s="2" t="s">
        <v>1871</v>
      </c>
      <c r="V9" s="2" t="s">
        <v>4112</v>
      </c>
      <c r="W9" s="2" t="s">
        <v>2</v>
      </c>
      <c r="X9" s="4">
        <v>105932.6</v>
      </c>
      <c r="Y9" s="4">
        <f t="shared" si="1"/>
        <v>79444.100000000006</v>
      </c>
      <c r="Z9" s="4">
        <f t="shared" si="2"/>
        <v>74652.600000000006</v>
      </c>
      <c r="AA9" s="4">
        <v>74652.600000000006</v>
      </c>
      <c r="AB9" s="4">
        <v>0</v>
      </c>
      <c r="AC9" s="4">
        <f t="shared" si="3"/>
        <v>4791.5</v>
      </c>
      <c r="AD9" s="4">
        <v>4791.5</v>
      </c>
      <c r="AE9" s="4">
        <v>0</v>
      </c>
      <c r="AF9" s="2" t="s">
        <v>2</v>
      </c>
    </row>
    <row r="10" spans="1:32" ht="24" customHeight="1" x14ac:dyDescent="0.3">
      <c r="A10" s="2" t="s">
        <v>50</v>
      </c>
      <c r="B10" s="11"/>
      <c r="C10" s="11"/>
      <c r="D10" s="2" t="s">
        <v>4113</v>
      </c>
      <c r="E10" s="2" t="s">
        <v>405</v>
      </c>
      <c r="F10" s="2" t="s">
        <v>4114</v>
      </c>
      <c r="G10" s="2" t="s">
        <v>2</v>
      </c>
      <c r="H10" s="2" t="s">
        <v>124</v>
      </c>
      <c r="I10" s="2" t="s">
        <v>28</v>
      </c>
      <c r="J10" s="2" t="s">
        <v>2</v>
      </c>
      <c r="K10" s="4">
        <v>80.400000000000006</v>
      </c>
      <c r="L10" s="3">
        <v>24</v>
      </c>
      <c r="M10" s="2" t="s">
        <v>47</v>
      </c>
      <c r="N10" s="2" t="s">
        <v>72</v>
      </c>
      <c r="O10" s="4">
        <v>30739.1</v>
      </c>
      <c r="P10" s="4">
        <f t="shared" si="0"/>
        <v>11612.1</v>
      </c>
      <c r="Q10" s="4">
        <v>11612.1</v>
      </c>
      <c r="R10" s="4">
        <v>0</v>
      </c>
      <c r="S10" s="4">
        <v>0</v>
      </c>
      <c r="T10" s="4">
        <v>0</v>
      </c>
      <c r="U10" s="2" t="s">
        <v>4115</v>
      </c>
      <c r="V10" s="2" t="s">
        <v>122</v>
      </c>
      <c r="W10" s="2" t="s">
        <v>2</v>
      </c>
      <c r="X10" s="4">
        <v>51044</v>
      </c>
      <c r="Y10" s="4">
        <f t="shared" si="1"/>
        <v>51044</v>
      </c>
      <c r="Z10" s="4">
        <f t="shared" si="2"/>
        <v>36578</v>
      </c>
      <c r="AA10" s="4">
        <v>36578</v>
      </c>
      <c r="AB10" s="4">
        <v>0</v>
      </c>
      <c r="AC10" s="4">
        <f t="shared" si="3"/>
        <v>14466</v>
      </c>
      <c r="AD10" s="4">
        <v>14466</v>
      </c>
      <c r="AE10" s="4">
        <v>0</v>
      </c>
      <c r="AF10" s="2" t="s">
        <v>2</v>
      </c>
    </row>
    <row r="11" spans="1:32" ht="24" customHeight="1" x14ac:dyDescent="0.3">
      <c r="A11" s="2" t="s">
        <v>51</v>
      </c>
      <c r="B11" s="11"/>
      <c r="C11" s="11" t="s">
        <v>60</v>
      </c>
      <c r="D11" s="2" t="s">
        <v>4116</v>
      </c>
      <c r="E11" s="2" t="s">
        <v>4117</v>
      </c>
      <c r="F11" s="2" t="s">
        <v>4118</v>
      </c>
      <c r="G11" s="2" t="s">
        <v>2</v>
      </c>
      <c r="H11" s="2" t="s">
        <v>124</v>
      </c>
      <c r="I11" s="2" t="s">
        <v>28</v>
      </c>
      <c r="J11" s="2" t="s">
        <v>2</v>
      </c>
      <c r="K11" s="4">
        <v>112</v>
      </c>
      <c r="L11" s="3">
        <v>24</v>
      </c>
      <c r="M11" s="2" t="s">
        <v>47</v>
      </c>
      <c r="N11" s="2" t="s">
        <v>48</v>
      </c>
      <c r="O11" s="4">
        <v>50017.3</v>
      </c>
      <c r="P11" s="4">
        <f t="shared" si="0"/>
        <v>22235.5</v>
      </c>
      <c r="Q11" s="4">
        <v>3563.9</v>
      </c>
      <c r="R11" s="4">
        <v>0</v>
      </c>
      <c r="S11" s="4">
        <v>18671.599999999999</v>
      </c>
      <c r="T11" s="4">
        <v>0</v>
      </c>
      <c r="U11" s="2" t="s">
        <v>4119</v>
      </c>
      <c r="V11" s="2" t="s">
        <v>3431</v>
      </c>
      <c r="W11" s="2" t="s">
        <v>2</v>
      </c>
      <c r="X11" s="4">
        <v>117966</v>
      </c>
      <c r="Y11" s="4">
        <f t="shared" si="1"/>
        <v>117966</v>
      </c>
      <c r="Z11" s="4">
        <f t="shared" si="2"/>
        <v>117966</v>
      </c>
      <c r="AA11" s="4">
        <v>117966</v>
      </c>
      <c r="AB11" s="4">
        <v>0</v>
      </c>
      <c r="AC11" s="4">
        <f t="shared" si="3"/>
        <v>0</v>
      </c>
      <c r="AD11" s="4">
        <v>0</v>
      </c>
      <c r="AE11" s="4">
        <v>0</v>
      </c>
      <c r="AF11" s="2" t="s">
        <v>2</v>
      </c>
    </row>
    <row r="12" spans="1:32" ht="24" customHeight="1" x14ac:dyDescent="0.3">
      <c r="A12" s="2" t="s">
        <v>52</v>
      </c>
      <c r="B12" s="11"/>
      <c r="C12" s="11"/>
      <c r="D12" s="2" t="s">
        <v>4120</v>
      </c>
      <c r="E12" s="2" t="s">
        <v>4121</v>
      </c>
      <c r="F12" s="2" t="s">
        <v>2865</v>
      </c>
      <c r="G12" s="2" t="s">
        <v>2</v>
      </c>
      <c r="H12" s="2" t="s">
        <v>124</v>
      </c>
      <c r="I12" s="2" t="s">
        <v>28</v>
      </c>
      <c r="J12" s="2" t="s">
        <v>2</v>
      </c>
      <c r="K12" s="4">
        <v>96</v>
      </c>
      <c r="L12" s="3">
        <v>24</v>
      </c>
      <c r="M12" s="2" t="s">
        <v>47</v>
      </c>
      <c r="N12" s="2" t="s">
        <v>48</v>
      </c>
      <c r="O12" s="4">
        <v>40524.699999999997</v>
      </c>
      <c r="P12" s="4">
        <f t="shared" si="0"/>
        <v>12556.3</v>
      </c>
      <c r="Q12" s="4">
        <v>8988</v>
      </c>
      <c r="R12" s="4">
        <v>0</v>
      </c>
      <c r="S12" s="4">
        <v>3504.9</v>
      </c>
      <c r="T12" s="4">
        <v>63.4</v>
      </c>
      <c r="U12" s="2" t="s">
        <v>2866</v>
      </c>
      <c r="V12" s="2" t="s">
        <v>2867</v>
      </c>
      <c r="W12" s="2" t="s">
        <v>2</v>
      </c>
      <c r="X12" s="4">
        <v>115075.9</v>
      </c>
      <c r="Y12" s="4">
        <f t="shared" si="1"/>
        <v>84507</v>
      </c>
      <c r="Z12" s="4">
        <f t="shared" si="2"/>
        <v>80572</v>
      </c>
      <c r="AA12" s="4">
        <v>80572</v>
      </c>
      <c r="AB12" s="4">
        <v>0</v>
      </c>
      <c r="AC12" s="4">
        <f t="shared" si="3"/>
        <v>3935</v>
      </c>
      <c r="AD12" s="4">
        <v>0</v>
      </c>
      <c r="AE12" s="4">
        <v>3935</v>
      </c>
      <c r="AF12" s="2" t="s">
        <v>2</v>
      </c>
    </row>
    <row r="13" spans="1:32" ht="24" customHeight="1" x14ac:dyDescent="0.3">
      <c r="A13" s="2" t="s">
        <v>77</v>
      </c>
      <c r="B13" s="11"/>
      <c r="C13" s="11"/>
      <c r="D13" s="2" t="s">
        <v>4122</v>
      </c>
      <c r="E13" s="2" t="s">
        <v>4123</v>
      </c>
      <c r="F13" s="2" t="s">
        <v>4124</v>
      </c>
      <c r="G13" s="2" t="s">
        <v>2</v>
      </c>
      <c r="H13" s="2" t="s">
        <v>124</v>
      </c>
      <c r="I13" s="2" t="s">
        <v>28</v>
      </c>
      <c r="J13" s="2" t="s">
        <v>2</v>
      </c>
      <c r="K13" s="4">
        <v>44.4</v>
      </c>
      <c r="L13" s="3">
        <v>24</v>
      </c>
      <c r="M13" s="2" t="s">
        <v>47</v>
      </c>
      <c r="N13" s="2" t="s">
        <v>48</v>
      </c>
      <c r="O13" s="4">
        <v>15135</v>
      </c>
      <c r="P13" s="4">
        <f t="shared" si="0"/>
        <v>5964.4</v>
      </c>
      <c r="Q13" s="4">
        <v>2052.9</v>
      </c>
      <c r="R13" s="4">
        <v>0</v>
      </c>
      <c r="S13" s="4">
        <v>3911.5</v>
      </c>
      <c r="T13" s="4">
        <v>0</v>
      </c>
      <c r="U13" s="2" t="s">
        <v>4125</v>
      </c>
      <c r="V13" s="2" t="s">
        <v>975</v>
      </c>
      <c r="W13" s="2" t="s">
        <v>2</v>
      </c>
      <c r="X13" s="4">
        <v>37197.699999999997</v>
      </c>
      <c r="Y13" s="4">
        <f t="shared" si="1"/>
        <v>28280.2</v>
      </c>
      <c r="Z13" s="4">
        <f t="shared" si="2"/>
        <v>28280.2</v>
      </c>
      <c r="AA13" s="4">
        <v>28280.2</v>
      </c>
      <c r="AB13" s="4">
        <v>0</v>
      </c>
      <c r="AC13" s="4">
        <f t="shared" si="3"/>
        <v>0</v>
      </c>
      <c r="AD13" s="4">
        <v>0</v>
      </c>
      <c r="AE13" s="4">
        <v>0</v>
      </c>
      <c r="AF13" s="2" t="s">
        <v>2</v>
      </c>
    </row>
  </sheetData>
  <autoFilter ref="A6:AF13" xr:uid="{00000000-0009-0000-0000-000009000000}"/>
  <mergeCells count="29">
    <mergeCell ref="B7:B13"/>
    <mergeCell ref="C7"/>
    <mergeCell ref="C8"/>
    <mergeCell ref="C9:C10"/>
    <mergeCell ref="C11:C13"/>
    <mergeCell ref="V4:V6"/>
    <mergeCell ref="W4:W6"/>
    <mergeCell ref="X4:X6"/>
    <mergeCell ref="Y4:AE4"/>
    <mergeCell ref="AF4:AF5"/>
    <mergeCell ref="Y5:Y6"/>
    <mergeCell ref="Z5:AB5"/>
    <mergeCell ref="AC5:AE5"/>
    <mergeCell ref="A1:AF1"/>
    <mergeCell ref="A2:AF2"/>
    <mergeCell ref="A4:A6"/>
    <mergeCell ref="B4:B6"/>
    <mergeCell ref="C4:C6"/>
    <mergeCell ref="D4:D6"/>
    <mergeCell ref="E4:E6"/>
    <mergeCell ref="F4:F6"/>
    <mergeCell ref="G4:J5"/>
    <mergeCell ref="K4:K5"/>
    <mergeCell ref="L4:L5"/>
    <mergeCell ref="M4:M6"/>
    <mergeCell ref="N4:N6"/>
    <mergeCell ref="O4:O5"/>
    <mergeCell ref="P4:T5"/>
    <mergeCell ref="U4:U6"/>
  </mergeCells>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4" ySplit="6" topLeftCell="E7" activePane="bottomRight" state="frozen"/>
      <selection pane="topRight"/>
      <selection pane="bottomLeft"/>
      <selection pane="bottomRight" activeCell="B7" sqref="B7:B9"/>
    </sheetView>
  </sheetViews>
  <sheetFormatPr defaultRowHeight="16.5" x14ac:dyDescent="0.3"/>
  <cols>
    <col min="1" max="1" width="6" customWidth="1"/>
    <col min="2" max="3" width="12.625" customWidth="1"/>
    <col min="4" max="4" width="17.875" customWidth="1"/>
    <col min="5" max="5" width="12.625" customWidth="1"/>
    <col min="6" max="6" width="26.75" customWidth="1"/>
    <col min="7" max="7" width="10.375" customWidth="1"/>
    <col min="8" max="8" width="20.75" customWidth="1"/>
    <col min="9" max="9" width="19.25" customWidth="1"/>
    <col min="10" max="10" width="12.5" customWidth="1"/>
    <col min="11" max="17" width="10.375" customWidth="1"/>
    <col min="18" max="18" width="14.875" customWidth="1"/>
    <col min="19" max="19" width="16.375" customWidth="1"/>
    <col min="20" max="25" width="10.375" customWidth="1"/>
    <col min="26" max="26" width="14.875" customWidth="1"/>
    <col min="27" max="27" width="11.875" customWidth="1"/>
    <col min="28" max="28" width="10.375" customWidth="1"/>
  </cols>
  <sheetData>
    <row r="1" spans="1:28" ht="18.75" x14ac:dyDescent="0.3">
      <c r="A1" s="8" t="s">
        <v>4105</v>
      </c>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3">
      <c r="A2" s="9" t="s">
        <v>4126</v>
      </c>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
      <c r="A3" s="5"/>
      <c r="B3" s="5"/>
      <c r="C3" s="5"/>
      <c r="D3" s="5"/>
      <c r="E3" s="5"/>
      <c r="F3" s="5"/>
      <c r="G3" s="5"/>
      <c r="H3" s="5"/>
      <c r="I3" s="5"/>
      <c r="J3" s="5"/>
      <c r="K3" s="5"/>
      <c r="L3" s="5"/>
      <c r="M3" s="5"/>
      <c r="N3" s="5"/>
      <c r="O3" s="5"/>
      <c r="P3" s="5"/>
      <c r="Q3" s="5"/>
      <c r="R3" s="5"/>
      <c r="S3" s="5"/>
      <c r="T3" s="5"/>
      <c r="U3" s="5"/>
      <c r="V3" s="5"/>
      <c r="W3" s="5"/>
      <c r="X3" s="5"/>
      <c r="Y3" s="5"/>
      <c r="Z3" s="5"/>
      <c r="AA3" s="5"/>
      <c r="AB3" s="5" t="s">
        <v>2</v>
      </c>
    </row>
    <row r="4" spans="1:28" ht="24" customHeight="1" x14ac:dyDescent="0.3">
      <c r="A4" s="10" t="s">
        <v>3</v>
      </c>
      <c r="B4" s="10" t="s">
        <v>4</v>
      </c>
      <c r="C4" s="10" t="s">
        <v>5</v>
      </c>
      <c r="D4" s="10" t="s">
        <v>382</v>
      </c>
      <c r="E4" s="10" t="s">
        <v>383</v>
      </c>
      <c r="F4" s="10" t="s">
        <v>7</v>
      </c>
      <c r="G4" s="10" t="s">
        <v>627</v>
      </c>
      <c r="H4" s="10"/>
      <c r="I4" s="10"/>
      <c r="J4" s="10"/>
      <c r="K4" s="10" t="s">
        <v>4127</v>
      </c>
      <c r="L4" s="10"/>
      <c r="M4" s="10"/>
      <c r="N4" s="10"/>
      <c r="O4" s="10"/>
      <c r="P4" s="10"/>
      <c r="Q4" s="10"/>
      <c r="R4" s="10"/>
      <c r="S4" s="1" t="s">
        <v>13</v>
      </c>
      <c r="T4" s="10" t="s">
        <v>14</v>
      </c>
      <c r="U4" s="10"/>
      <c r="V4" s="10"/>
      <c r="W4" s="10"/>
      <c r="X4" s="10"/>
      <c r="Y4" s="10" t="s">
        <v>384</v>
      </c>
      <c r="Z4" s="10" t="s">
        <v>18</v>
      </c>
      <c r="AA4" s="10" t="s">
        <v>19</v>
      </c>
      <c r="AB4" s="10" t="s">
        <v>22</v>
      </c>
    </row>
    <row r="5" spans="1:28" ht="24" customHeight="1" x14ac:dyDescent="0.3">
      <c r="A5" s="10"/>
      <c r="B5" s="10"/>
      <c r="C5" s="10"/>
      <c r="D5" s="10"/>
      <c r="E5" s="10"/>
      <c r="F5" s="10"/>
      <c r="G5" s="10" t="s">
        <v>26</v>
      </c>
      <c r="H5" s="10" t="s">
        <v>27</v>
      </c>
      <c r="I5" s="10" t="s">
        <v>28</v>
      </c>
      <c r="J5" s="10" t="s">
        <v>29</v>
      </c>
      <c r="K5" s="10" t="s">
        <v>33</v>
      </c>
      <c r="L5" s="10" t="s">
        <v>446</v>
      </c>
      <c r="M5" s="10"/>
      <c r="N5" s="10" t="s">
        <v>447</v>
      </c>
      <c r="O5" s="10"/>
      <c r="P5" s="10" t="s">
        <v>448</v>
      </c>
      <c r="Q5" s="10"/>
      <c r="R5" s="10" t="s">
        <v>449</v>
      </c>
      <c r="S5" s="10" t="s">
        <v>32</v>
      </c>
      <c r="T5" s="10" t="s">
        <v>33</v>
      </c>
      <c r="U5" s="10" t="s">
        <v>34</v>
      </c>
      <c r="V5" s="10" t="s">
        <v>35</v>
      </c>
      <c r="W5" s="10" t="s">
        <v>36</v>
      </c>
      <c r="X5" s="10" t="s">
        <v>37</v>
      </c>
      <c r="Y5" s="10"/>
      <c r="Z5" s="10"/>
      <c r="AA5" s="10"/>
      <c r="AB5" s="10"/>
    </row>
    <row r="6" spans="1:28" ht="45" customHeight="1" x14ac:dyDescent="0.3">
      <c r="A6" s="10"/>
      <c r="B6" s="10"/>
      <c r="C6" s="10"/>
      <c r="D6" s="10"/>
      <c r="E6" s="10"/>
      <c r="F6" s="10"/>
      <c r="G6" s="10"/>
      <c r="H6" s="10"/>
      <c r="I6" s="10"/>
      <c r="J6" s="10"/>
      <c r="K6" s="10"/>
      <c r="L6" s="1" t="s">
        <v>450</v>
      </c>
      <c r="M6" s="1" t="s">
        <v>451</v>
      </c>
      <c r="N6" s="1" t="s">
        <v>452</v>
      </c>
      <c r="O6" s="1" t="s">
        <v>453</v>
      </c>
      <c r="P6" s="1" t="s">
        <v>454</v>
      </c>
      <c r="Q6" s="1" t="s">
        <v>455</v>
      </c>
      <c r="R6" s="10"/>
      <c r="S6" s="10"/>
      <c r="T6" s="10"/>
      <c r="U6" s="10"/>
      <c r="V6" s="10"/>
      <c r="W6" s="10"/>
      <c r="X6" s="10"/>
      <c r="Y6" s="10"/>
      <c r="Z6" s="10"/>
      <c r="AA6" s="10"/>
      <c r="AB6" s="10"/>
    </row>
    <row r="7" spans="1:28" ht="24" customHeight="1" x14ac:dyDescent="0.3">
      <c r="A7" s="2" t="s">
        <v>53</v>
      </c>
      <c r="B7" s="11" t="s">
        <v>55</v>
      </c>
      <c r="C7" s="11" t="s">
        <v>40</v>
      </c>
      <c r="D7" s="2" t="s">
        <v>2</v>
      </c>
      <c r="E7" s="2" t="s">
        <v>2</v>
      </c>
      <c r="F7" s="2" t="s">
        <v>2</v>
      </c>
      <c r="G7" s="2" t="s">
        <v>2</v>
      </c>
      <c r="H7" s="2" t="s">
        <v>2</v>
      </c>
      <c r="I7" s="2" t="s">
        <v>2</v>
      </c>
      <c r="J7" s="2" t="s">
        <v>2</v>
      </c>
      <c r="K7" s="4">
        <f t="shared" ref="K7:K9" si="0">SUM(L7:R7)</f>
        <v>125.6</v>
      </c>
      <c r="L7" s="4">
        <v>0</v>
      </c>
      <c r="M7" s="4">
        <v>125.6</v>
      </c>
      <c r="N7" s="4">
        <v>0</v>
      </c>
      <c r="O7" s="4">
        <v>0</v>
      </c>
      <c r="P7" s="4">
        <v>0</v>
      </c>
      <c r="Q7" s="4">
        <v>0</v>
      </c>
      <c r="R7" s="4">
        <v>0</v>
      </c>
      <c r="S7" s="4">
        <v>20684.400000000001</v>
      </c>
      <c r="T7" s="4">
        <f t="shared" ref="T7:T9" si="1">SUM(U7:X7)</f>
        <v>680.9</v>
      </c>
      <c r="U7" s="4">
        <v>0</v>
      </c>
      <c r="V7" s="4">
        <v>680.9</v>
      </c>
      <c r="W7" s="4">
        <v>0</v>
      </c>
      <c r="X7" s="4">
        <v>0</v>
      </c>
      <c r="Y7" s="2" t="s">
        <v>2</v>
      </c>
      <c r="Z7" s="2" t="s">
        <v>2</v>
      </c>
      <c r="AA7" s="2" t="s">
        <v>2</v>
      </c>
      <c r="AB7" s="2" t="s">
        <v>2</v>
      </c>
    </row>
    <row r="8" spans="1:28" ht="24" customHeight="1" x14ac:dyDescent="0.3">
      <c r="A8" s="2" t="s">
        <v>46</v>
      </c>
      <c r="B8" s="11"/>
      <c r="C8" s="11" t="s">
        <v>56</v>
      </c>
      <c r="D8" s="2" t="s">
        <v>4128</v>
      </c>
      <c r="E8" s="2" t="s">
        <v>4129</v>
      </c>
      <c r="F8" s="2" t="s">
        <v>4130</v>
      </c>
      <c r="G8" s="2" t="s">
        <v>1599</v>
      </c>
      <c r="H8" s="2" t="s">
        <v>2</v>
      </c>
      <c r="I8" s="2" t="s">
        <v>2</v>
      </c>
      <c r="J8" s="2" t="s">
        <v>2</v>
      </c>
      <c r="K8" s="4">
        <f t="shared" si="0"/>
        <v>45.6</v>
      </c>
      <c r="L8" s="4">
        <v>0</v>
      </c>
      <c r="M8" s="4">
        <v>45.6</v>
      </c>
      <c r="N8" s="4">
        <v>0</v>
      </c>
      <c r="O8" s="4">
        <v>0</v>
      </c>
      <c r="P8" s="4">
        <v>0</v>
      </c>
      <c r="Q8" s="4">
        <v>0</v>
      </c>
      <c r="R8" s="4">
        <v>0</v>
      </c>
      <c r="S8" s="4">
        <v>2585.8000000000002</v>
      </c>
      <c r="T8" s="4">
        <f t="shared" si="1"/>
        <v>0</v>
      </c>
      <c r="U8" s="4">
        <v>0</v>
      </c>
      <c r="V8" s="4">
        <v>0</v>
      </c>
      <c r="W8" s="4">
        <v>0</v>
      </c>
      <c r="X8" s="4">
        <v>0</v>
      </c>
      <c r="Y8" s="2" t="s">
        <v>4131</v>
      </c>
      <c r="Z8" s="2" t="s">
        <v>1097</v>
      </c>
      <c r="AA8" s="2" t="s">
        <v>2</v>
      </c>
      <c r="AB8" s="2" t="s">
        <v>2</v>
      </c>
    </row>
    <row r="9" spans="1:28" ht="24" customHeight="1" x14ac:dyDescent="0.3">
      <c r="A9" s="2" t="s">
        <v>49</v>
      </c>
      <c r="B9" s="11"/>
      <c r="C9" s="11" t="s">
        <v>215</v>
      </c>
      <c r="D9" s="2" t="s">
        <v>4132</v>
      </c>
      <c r="E9" s="2" t="s">
        <v>2503</v>
      </c>
      <c r="F9" s="2" t="s">
        <v>2504</v>
      </c>
      <c r="G9" s="2" t="s">
        <v>2</v>
      </c>
      <c r="H9" s="2" t="s">
        <v>4133</v>
      </c>
      <c r="I9" s="2" t="s">
        <v>4133</v>
      </c>
      <c r="J9" s="2" t="s">
        <v>2</v>
      </c>
      <c r="K9" s="4">
        <f t="shared" si="0"/>
        <v>80</v>
      </c>
      <c r="L9" s="4">
        <v>0</v>
      </c>
      <c r="M9" s="4">
        <v>80</v>
      </c>
      <c r="N9" s="4">
        <v>0</v>
      </c>
      <c r="O9" s="4">
        <v>0</v>
      </c>
      <c r="P9" s="4">
        <v>0</v>
      </c>
      <c r="Q9" s="4">
        <v>0</v>
      </c>
      <c r="R9" s="4">
        <v>0</v>
      </c>
      <c r="S9" s="4">
        <v>18098.599999999999</v>
      </c>
      <c r="T9" s="4">
        <f t="shared" si="1"/>
        <v>680.9</v>
      </c>
      <c r="U9" s="4">
        <v>0</v>
      </c>
      <c r="V9" s="4">
        <v>680.9</v>
      </c>
      <c r="W9" s="4">
        <v>0</v>
      </c>
      <c r="X9" s="4">
        <v>0</v>
      </c>
      <c r="Y9" s="2" t="s">
        <v>2505</v>
      </c>
      <c r="Z9" s="2" t="s">
        <v>998</v>
      </c>
      <c r="AA9" s="2" t="s">
        <v>2</v>
      </c>
      <c r="AB9" s="2" t="s">
        <v>2</v>
      </c>
    </row>
  </sheetData>
  <autoFilter ref="A6:AB6" xr:uid="{00000000-0009-0000-0000-00000A000000}"/>
  <mergeCells count="34">
    <mergeCell ref="B7:B9"/>
    <mergeCell ref="C7"/>
    <mergeCell ref="C8"/>
    <mergeCell ref="C9"/>
    <mergeCell ref="H5:H6"/>
    <mergeCell ref="I5:I6"/>
    <mergeCell ref="J5:J6"/>
    <mergeCell ref="K5:K6"/>
    <mergeCell ref="L5:M5"/>
    <mergeCell ref="U5:U6"/>
    <mergeCell ref="V5:V6"/>
    <mergeCell ref="W5:W6"/>
    <mergeCell ref="X5:X6"/>
    <mergeCell ref="N5:O5"/>
    <mergeCell ref="P5:Q5"/>
    <mergeCell ref="R5:R6"/>
    <mergeCell ref="S5:S6"/>
    <mergeCell ref="T5:T6"/>
    <mergeCell ref="A1:AB1"/>
    <mergeCell ref="A2:AB2"/>
    <mergeCell ref="A4:A6"/>
    <mergeCell ref="B4:B6"/>
    <mergeCell ref="C4:C6"/>
    <mergeCell ref="D4:D6"/>
    <mergeCell ref="E4:E6"/>
    <mergeCell ref="F4:F6"/>
    <mergeCell ref="G4:J4"/>
    <mergeCell ref="K4:R4"/>
    <mergeCell ref="T4:X4"/>
    <mergeCell ref="Y4:Y6"/>
    <mergeCell ref="Z4:Z6"/>
    <mergeCell ref="AA4:AA6"/>
    <mergeCell ref="AB4:AB6"/>
    <mergeCell ref="G5:G6"/>
  </mergeCells>
  <phoneticPr fontId="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3"/>
  <sheetViews>
    <sheetView workbookViewId="0">
      <pane xSplit="5" ySplit="5" topLeftCell="F6" activePane="bottomRight" state="frozen"/>
      <selection pane="topRight"/>
      <selection pane="bottomLeft"/>
      <selection pane="bottomRight" activeCell="B6" sqref="B6:B23"/>
    </sheetView>
  </sheetViews>
  <sheetFormatPr defaultRowHeight="16.5" x14ac:dyDescent="0.3"/>
  <cols>
    <col min="1" max="1" width="6" customWidth="1"/>
    <col min="2" max="3" width="12.625" customWidth="1"/>
    <col min="4" max="4" width="17.875" customWidth="1"/>
    <col min="5" max="5" width="26.75" customWidth="1"/>
    <col min="6" max="10" width="17.875" customWidth="1"/>
    <col min="11" max="13" width="11.875" customWidth="1"/>
    <col min="14" max="17" width="12.625" customWidth="1"/>
    <col min="18" max="18" width="14.25" customWidth="1"/>
    <col min="19" max="19" width="17.875" customWidth="1"/>
    <col min="20" max="24" width="14.125" customWidth="1"/>
    <col min="25" max="26" width="12.625" customWidth="1"/>
    <col min="27" max="27" width="19.25" customWidth="1"/>
  </cols>
  <sheetData>
    <row r="1" spans="1:27" ht="18.75" x14ac:dyDescent="0.3">
      <c r="A1" s="8" t="s">
        <v>4134</v>
      </c>
      <c r="B1" s="8"/>
      <c r="C1" s="8"/>
      <c r="D1" s="8"/>
      <c r="E1" s="8"/>
      <c r="F1" s="8"/>
      <c r="G1" s="8"/>
      <c r="H1" s="8"/>
      <c r="I1" s="8"/>
      <c r="J1" s="8"/>
      <c r="K1" s="8"/>
      <c r="L1" s="8"/>
      <c r="M1" s="8"/>
      <c r="N1" s="8"/>
      <c r="O1" s="8"/>
      <c r="P1" s="8"/>
      <c r="Q1" s="8"/>
      <c r="R1" s="8"/>
      <c r="S1" s="8"/>
      <c r="T1" s="8"/>
      <c r="U1" s="8"/>
      <c r="V1" s="8"/>
      <c r="W1" s="8"/>
      <c r="X1" s="8"/>
      <c r="Y1" s="8"/>
      <c r="Z1" s="8"/>
      <c r="AA1" s="8"/>
    </row>
    <row r="2" spans="1:27" x14ac:dyDescent="0.3">
      <c r="A2" s="9" t="s">
        <v>4135</v>
      </c>
      <c r="B2" s="9"/>
      <c r="C2" s="9"/>
      <c r="D2" s="9"/>
      <c r="E2" s="9"/>
      <c r="F2" s="9"/>
      <c r="G2" s="9"/>
      <c r="H2" s="9"/>
      <c r="I2" s="9"/>
      <c r="J2" s="9"/>
      <c r="K2" s="9"/>
      <c r="L2" s="9"/>
      <c r="M2" s="9"/>
      <c r="N2" s="9"/>
      <c r="O2" s="9"/>
      <c r="P2" s="9"/>
      <c r="Q2" s="9"/>
      <c r="R2" s="9"/>
      <c r="S2" s="9"/>
      <c r="T2" s="9"/>
      <c r="U2" s="9"/>
      <c r="V2" s="9"/>
      <c r="W2" s="9"/>
      <c r="X2" s="9"/>
      <c r="Y2" s="9"/>
      <c r="Z2" s="9"/>
      <c r="AA2" s="9"/>
    </row>
    <row r="3" spans="1:27" x14ac:dyDescent="0.3">
      <c r="A3" s="5"/>
      <c r="B3" s="5"/>
      <c r="C3" s="5"/>
      <c r="D3" s="5"/>
      <c r="E3" s="5"/>
      <c r="F3" s="5"/>
      <c r="G3" s="5"/>
      <c r="H3" s="5"/>
      <c r="I3" s="5"/>
      <c r="J3" s="5"/>
      <c r="K3" s="5"/>
      <c r="L3" s="5"/>
      <c r="M3" s="5"/>
      <c r="N3" s="5"/>
      <c r="O3" s="5"/>
      <c r="P3" s="5"/>
      <c r="Q3" s="5"/>
      <c r="R3" s="5"/>
      <c r="S3" s="5"/>
      <c r="T3" s="5"/>
      <c r="U3" s="5"/>
      <c r="V3" s="5"/>
      <c r="W3" s="5"/>
      <c r="X3" s="5"/>
      <c r="Y3" s="5"/>
      <c r="Z3" s="5"/>
      <c r="AA3" s="5" t="s">
        <v>2</v>
      </c>
    </row>
    <row r="4" spans="1:27" ht="45" customHeight="1" x14ac:dyDescent="0.3">
      <c r="A4" s="10" t="s">
        <v>3</v>
      </c>
      <c r="B4" s="10" t="s">
        <v>4</v>
      </c>
      <c r="C4" s="10" t="s">
        <v>5</v>
      </c>
      <c r="D4" s="10" t="s">
        <v>382</v>
      </c>
      <c r="E4" s="10" t="s">
        <v>7</v>
      </c>
      <c r="F4" s="10" t="s">
        <v>383</v>
      </c>
      <c r="G4" s="10" t="s">
        <v>384</v>
      </c>
      <c r="H4" s="10" t="s">
        <v>4136</v>
      </c>
      <c r="I4" s="10" t="s">
        <v>4137</v>
      </c>
      <c r="J4" s="10" t="s">
        <v>4138</v>
      </c>
      <c r="K4" s="10" t="s">
        <v>298</v>
      </c>
      <c r="L4" s="10"/>
      <c r="M4" s="10"/>
      <c r="N4" s="10" t="s">
        <v>4139</v>
      </c>
      <c r="O4" s="10" t="s">
        <v>4140</v>
      </c>
      <c r="P4" s="1" t="s">
        <v>500</v>
      </c>
      <c r="Q4" s="1" t="s">
        <v>4141</v>
      </c>
      <c r="R4" s="1" t="s">
        <v>4142</v>
      </c>
      <c r="S4" s="1" t="s">
        <v>13</v>
      </c>
      <c r="T4" s="10" t="s">
        <v>14</v>
      </c>
      <c r="U4" s="10"/>
      <c r="V4" s="10"/>
      <c r="W4" s="10"/>
      <c r="X4" s="10"/>
      <c r="Y4" s="10" t="s">
        <v>18</v>
      </c>
      <c r="Z4" s="10" t="s">
        <v>4143</v>
      </c>
      <c r="AA4" s="10" t="s">
        <v>22</v>
      </c>
    </row>
    <row r="5" spans="1:27" ht="24" customHeight="1" x14ac:dyDescent="0.3">
      <c r="A5" s="10"/>
      <c r="B5" s="10"/>
      <c r="C5" s="10"/>
      <c r="D5" s="10"/>
      <c r="E5" s="10"/>
      <c r="F5" s="10"/>
      <c r="G5" s="10"/>
      <c r="H5" s="10"/>
      <c r="I5" s="10"/>
      <c r="J5" s="10"/>
      <c r="K5" s="1" t="s">
        <v>4144</v>
      </c>
      <c r="L5" s="1" t="s">
        <v>4145</v>
      </c>
      <c r="M5" s="1" t="s">
        <v>4146</v>
      </c>
      <c r="N5" s="10"/>
      <c r="O5" s="10"/>
      <c r="P5" s="1" t="s">
        <v>30</v>
      </c>
      <c r="Q5" s="1" t="s">
        <v>32</v>
      </c>
      <c r="R5" s="1" t="s">
        <v>4147</v>
      </c>
      <c r="S5" s="1" t="s">
        <v>32</v>
      </c>
      <c r="T5" s="1" t="s">
        <v>33</v>
      </c>
      <c r="U5" s="1" t="s">
        <v>34</v>
      </c>
      <c r="V5" s="1" t="s">
        <v>35</v>
      </c>
      <c r="W5" s="1" t="s">
        <v>36</v>
      </c>
      <c r="X5" s="1" t="s">
        <v>37</v>
      </c>
      <c r="Y5" s="10"/>
      <c r="Z5" s="10"/>
      <c r="AA5" s="10"/>
    </row>
    <row r="6" spans="1:27" ht="24" customHeight="1" x14ac:dyDescent="0.3">
      <c r="A6" s="2" t="s">
        <v>156</v>
      </c>
      <c r="B6" s="11" t="s">
        <v>55</v>
      </c>
      <c r="C6" s="11" t="s">
        <v>40</v>
      </c>
      <c r="D6" s="2" t="s">
        <v>2</v>
      </c>
      <c r="E6" s="2" t="s">
        <v>2</v>
      </c>
      <c r="F6" s="2" t="s">
        <v>2</v>
      </c>
      <c r="G6" s="2" t="s">
        <v>2</v>
      </c>
      <c r="H6" s="3">
        <v>327968</v>
      </c>
      <c r="I6" s="3">
        <v>94</v>
      </c>
      <c r="J6" s="2" t="s">
        <v>2</v>
      </c>
      <c r="K6" s="2" t="s">
        <v>2</v>
      </c>
      <c r="L6" s="2" t="s">
        <v>2</v>
      </c>
      <c r="M6" s="2" t="s">
        <v>2</v>
      </c>
      <c r="N6" s="2" t="s">
        <v>2</v>
      </c>
      <c r="O6" s="2" t="s">
        <v>2</v>
      </c>
      <c r="P6" s="4">
        <v>40640</v>
      </c>
      <c r="Q6" s="4">
        <v>624170</v>
      </c>
      <c r="R6" s="3">
        <v>2451700</v>
      </c>
      <c r="S6" s="4">
        <v>7645791</v>
      </c>
      <c r="T6" s="4">
        <f t="shared" ref="T6:T23" si="0">SUM(U6:X6)</f>
        <v>112773.2</v>
      </c>
      <c r="U6" s="4">
        <v>101122.9</v>
      </c>
      <c r="V6" s="4">
        <v>11396</v>
      </c>
      <c r="W6" s="4">
        <v>254.3</v>
      </c>
      <c r="X6" s="4">
        <v>0</v>
      </c>
      <c r="Y6" s="2" t="s">
        <v>2</v>
      </c>
      <c r="Z6" s="2" t="s">
        <v>2</v>
      </c>
      <c r="AA6" s="2" t="s">
        <v>2</v>
      </c>
    </row>
    <row r="7" spans="1:27" ht="24" customHeight="1" x14ac:dyDescent="0.3">
      <c r="A7" s="2" t="s">
        <v>46</v>
      </c>
      <c r="B7" s="11"/>
      <c r="C7" s="11" t="s">
        <v>60</v>
      </c>
      <c r="D7" s="2" t="s">
        <v>3969</v>
      </c>
      <c r="E7" s="2" t="s">
        <v>3971</v>
      </c>
      <c r="F7" s="2" t="s">
        <v>3970</v>
      </c>
      <c r="G7" s="2" t="s">
        <v>3972</v>
      </c>
      <c r="H7" s="3">
        <v>23140</v>
      </c>
      <c r="I7" s="3">
        <v>1</v>
      </c>
      <c r="J7" s="2" t="s">
        <v>2</v>
      </c>
      <c r="K7" s="2" t="s">
        <v>4148</v>
      </c>
      <c r="L7" s="2" t="s">
        <v>4151</v>
      </c>
      <c r="M7" s="2" t="s">
        <v>4152</v>
      </c>
      <c r="N7" s="2" t="s">
        <v>366</v>
      </c>
      <c r="O7" s="2" t="s">
        <v>4156</v>
      </c>
      <c r="P7" s="4">
        <v>1400</v>
      </c>
      <c r="Q7" s="4">
        <v>14000</v>
      </c>
      <c r="R7" s="3">
        <v>66000</v>
      </c>
      <c r="S7" s="4">
        <v>815680</v>
      </c>
      <c r="T7" s="4">
        <f t="shared" si="0"/>
        <v>15790.2</v>
      </c>
      <c r="U7" s="4">
        <v>15790.2</v>
      </c>
      <c r="V7" s="4">
        <v>0</v>
      </c>
      <c r="W7" s="4">
        <v>0</v>
      </c>
      <c r="X7" s="4">
        <v>0</v>
      </c>
      <c r="Y7" s="2" t="s">
        <v>1653</v>
      </c>
      <c r="Z7" s="2" t="s">
        <v>2</v>
      </c>
      <c r="AA7" s="2" t="s">
        <v>2</v>
      </c>
    </row>
    <row r="8" spans="1:27" ht="24" customHeight="1" x14ac:dyDescent="0.3">
      <c r="A8" s="2" t="s">
        <v>49</v>
      </c>
      <c r="B8" s="11"/>
      <c r="C8" s="11"/>
      <c r="D8" s="2" t="s">
        <v>3981</v>
      </c>
      <c r="E8" s="2" t="s">
        <v>3983</v>
      </c>
      <c r="F8" s="2" t="s">
        <v>3982</v>
      </c>
      <c r="G8" s="2" t="s">
        <v>3984</v>
      </c>
      <c r="H8" s="3">
        <v>35425</v>
      </c>
      <c r="I8" s="3">
        <v>0</v>
      </c>
      <c r="J8" s="2" t="s">
        <v>2</v>
      </c>
      <c r="K8" s="2" t="s">
        <v>4158</v>
      </c>
      <c r="L8" s="2" t="s">
        <v>4152</v>
      </c>
      <c r="M8" s="2" t="s">
        <v>4159</v>
      </c>
      <c r="N8" s="2" t="s">
        <v>366</v>
      </c>
      <c r="O8" s="2" t="s">
        <v>4156</v>
      </c>
      <c r="P8" s="4">
        <v>4720</v>
      </c>
      <c r="Q8" s="4">
        <v>69696</v>
      </c>
      <c r="R8" s="3">
        <v>35000</v>
      </c>
      <c r="S8" s="4">
        <v>965192</v>
      </c>
      <c r="T8" s="4">
        <f t="shared" si="0"/>
        <v>0</v>
      </c>
      <c r="U8" s="4">
        <v>0</v>
      </c>
      <c r="V8" s="4">
        <v>0</v>
      </c>
      <c r="W8" s="4">
        <v>0</v>
      </c>
      <c r="X8" s="4">
        <v>0</v>
      </c>
      <c r="Y8" s="2" t="s">
        <v>4160</v>
      </c>
      <c r="Z8" s="2" t="s">
        <v>2</v>
      </c>
      <c r="AA8" s="2" t="s">
        <v>2</v>
      </c>
    </row>
    <row r="9" spans="1:27" ht="24" customHeight="1" x14ac:dyDescent="0.3">
      <c r="A9" s="2" t="s">
        <v>50</v>
      </c>
      <c r="B9" s="11"/>
      <c r="C9" s="11"/>
      <c r="D9" s="2" t="s">
        <v>4161</v>
      </c>
      <c r="E9" s="2" t="s">
        <v>3983</v>
      </c>
      <c r="F9" s="2" t="s">
        <v>4162</v>
      </c>
      <c r="G9" s="2" t="s">
        <v>3984</v>
      </c>
      <c r="H9" s="3">
        <v>0</v>
      </c>
      <c r="I9" s="3">
        <v>1</v>
      </c>
      <c r="J9" s="2" t="s">
        <v>2</v>
      </c>
      <c r="K9" s="2" t="s">
        <v>4148</v>
      </c>
      <c r="L9" s="2" t="s">
        <v>4163</v>
      </c>
      <c r="M9" s="2" t="s">
        <v>2</v>
      </c>
      <c r="N9" s="2" t="s">
        <v>366</v>
      </c>
      <c r="O9" s="2" t="s">
        <v>2</v>
      </c>
      <c r="P9" s="4">
        <v>0</v>
      </c>
      <c r="Q9" s="4">
        <v>0</v>
      </c>
      <c r="R9" s="3">
        <v>99600</v>
      </c>
      <c r="S9" s="4">
        <v>0</v>
      </c>
      <c r="T9" s="4">
        <f t="shared" si="0"/>
        <v>0</v>
      </c>
      <c r="U9" s="4">
        <v>0</v>
      </c>
      <c r="V9" s="4">
        <v>0</v>
      </c>
      <c r="W9" s="4">
        <v>0</v>
      </c>
      <c r="X9" s="4">
        <v>0</v>
      </c>
      <c r="Y9" s="2" t="s">
        <v>3555</v>
      </c>
      <c r="Z9" s="2" t="s">
        <v>2</v>
      </c>
      <c r="AA9" s="2" t="s">
        <v>2</v>
      </c>
    </row>
    <row r="10" spans="1:27" ht="24" customHeight="1" x14ac:dyDescent="0.3">
      <c r="A10" s="2" t="s">
        <v>51</v>
      </c>
      <c r="B10" s="11"/>
      <c r="C10" s="11"/>
      <c r="D10" s="2" t="s">
        <v>3985</v>
      </c>
      <c r="E10" s="2" t="s">
        <v>3986</v>
      </c>
      <c r="F10" s="2" t="s">
        <v>4164</v>
      </c>
      <c r="G10" s="2" t="s">
        <v>3987</v>
      </c>
      <c r="H10" s="3">
        <v>0</v>
      </c>
      <c r="I10" s="3">
        <v>1</v>
      </c>
      <c r="J10" s="2" t="s">
        <v>4165</v>
      </c>
      <c r="K10" s="2" t="s">
        <v>4166</v>
      </c>
      <c r="L10" s="2" t="s">
        <v>4167</v>
      </c>
      <c r="M10" s="2" t="s">
        <v>4168</v>
      </c>
      <c r="N10" s="2" t="s">
        <v>366</v>
      </c>
      <c r="O10" s="2" t="s">
        <v>4155</v>
      </c>
      <c r="P10" s="4">
        <v>0</v>
      </c>
      <c r="Q10" s="4">
        <v>0</v>
      </c>
      <c r="R10" s="3">
        <v>10000</v>
      </c>
      <c r="S10" s="4">
        <v>23853</v>
      </c>
      <c r="T10" s="4">
        <f t="shared" si="0"/>
        <v>0</v>
      </c>
      <c r="U10" s="4">
        <v>0</v>
      </c>
      <c r="V10" s="4">
        <v>0</v>
      </c>
      <c r="W10" s="4">
        <v>0</v>
      </c>
      <c r="X10" s="4">
        <v>0</v>
      </c>
      <c r="Y10" s="2" t="s">
        <v>3568</v>
      </c>
      <c r="Z10" s="2" t="s">
        <v>2</v>
      </c>
      <c r="AA10" s="2" t="s">
        <v>2</v>
      </c>
    </row>
    <row r="11" spans="1:27" ht="24" customHeight="1" x14ac:dyDescent="0.3">
      <c r="A11" s="2" t="s">
        <v>52</v>
      </c>
      <c r="B11" s="11"/>
      <c r="C11" s="11"/>
      <c r="D11" s="2" t="s">
        <v>3988</v>
      </c>
      <c r="E11" s="2" t="s">
        <v>3989</v>
      </c>
      <c r="F11" s="2" t="s">
        <v>959</v>
      </c>
      <c r="G11" s="2" t="s">
        <v>3991</v>
      </c>
      <c r="H11" s="3">
        <v>64569</v>
      </c>
      <c r="I11" s="3">
        <v>51</v>
      </c>
      <c r="J11" s="2" t="s">
        <v>3682</v>
      </c>
      <c r="K11" s="2" t="s">
        <v>4153</v>
      </c>
      <c r="L11" s="2" t="s">
        <v>4169</v>
      </c>
      <c r="M11" s="2" t="s">
        <v>4170</v>
      </c>
      <c r="N11" s="2" t="s">
        <v>366</v>
      </c>
      <c r="O11" s="2" t="s">
        <v>4149</v>
      </c>
      <c r="P11" s="4">
        <v>3200</v>
      </c>
      <c r="Q11" s="4">
        <v>79200</v>
      </c>
      <c r="R11" s="3">
        <v>117100</v>
      </c>
      <c r="S11" s="4">
        <v>1877370</v>
      </c>
      <c r="T11" s="4">
        <f t="shared" si="0"/>
        <v>22725</v>
      </c>
      <c r="U11" s="4">
        <v>16545.7</v>
      </c>
      <c r="V11" s="4">
        <v>6179.3</v>
      </c>
      <c r="W11" s="4">
        <v>0</v>
      </c>
      <c r="X11" s="4">
        <v>0</v>
      </c>
      <c r="Y11" s="2" t="s">
        <v>3665</v>
      </c>
      <c r="Z11" s="2" t="s">
        <v>2</v>
      </c>
      <c r="AA11" s="2" t="s">
        <v>2</v>
      </c>
    </row>
    <row r="12" spans="1:27" ht="24" customHeight="1" x14ac:dyDescent="0.3">
      <c r="A12" s="2" t="s">
        <v>77</v>
      </c>
      <c r="B12" s="11"/>
      <c r="C12" s="11"/>
      <c r="D12" s="2" t="s">
        <v>3992</v>
      </c>
      <c r="E12" s="2" t="s">
        <v>3994</v>
      </c>
      <c r="F12" s="2" t="s">
        <v>3993</v>
      </c>
      <c r="G12" s="2" t="s">
        <v>3987</v>
      </c>
      <c r="H12" s="3">
        <v>41460</v>
      </c>
      <c r="I12" s="3">
        <v>23</v>
      </c>
      <c r="J12" s="2" t="s">
        <v>4171</v>
      </c>
      <c r="K12" s="2" t="s">
        <v>4148</v>
      </c>
      <c r="L12" s="2" t="s">
        <v>4152</v>
      </c>
      <c r="M12" s="2" t="s">
        <v>4172</v>
      </c>
      <c r="N12" s="2" t="s">
        <v>366</v>
      </c>
      <c r="O12" s="2" t="s">
        <v>4155</v>
      </c>
      <c r="P12" s="4">
        <v>17000</v>
      </c>
      <c r="Q12" s="4">
        <v>245930</v>
      </c>
      <c r="R12" s="3">
        <v>150000</v>
      </c>
      <c r="S12" s="4">
        <v>917026</v>
      </c>
      <c r="T12" s="4">
        <f t="shared" si="0"/>
        <v>0</v>
      </c>
      <c r="U12" s="4">
        <v>0</v>
      </c>
      <c r="V12" s="4">
        <v>0</v>
      </c>
      <c r="W12" s="4">
        <v>0</v>
      </c>
      <c r="X12" s="4">
        <v>0</v>
      </c>
      <c r="Y12" s="2" t="s">
        <v>3995</v>
      </c>
      <c r="Z12" s="2" t="s">
        <v>2</v>
      </c>
      <c r="AA12" s="2" t="s">
        <v>2</v>
      </c>
    </row>
    <row r="13" spans="1:27" ht="24" customHeight="1" x14ac:dyDescent="0.3">
      <c r="A13" s="2" t="s">
        <v>82</v>
      </c>
      <c r="B13" s="11"/>
      <c r="C13" s="11"/>
      <c r="D13" s="2" t="s">
        <v>4173</v>
      </c>
      <c r="E13" s="2" t="s">
        <v>4174</v>
      </c>
      <c r="F13" s="2" t="s">
        <v>4175</v>
      </c>
      <c r="G13" s="2" t="s">
        <v>4176</v>
      </c>
      <c r="H13" s="3">
        <v>13888</v>
      </c>
      <c r="I13" s="3">
        <v>0</v>
      </c>
      <c r="J13" s="2" t="s">
        <v>4042</v>
      </c>
      <c r="K13" s="2" t="s">
        <v>4177</v>
      </c>
      <c r="L13" s="2" t="s">
        <v>4178</v>
      </c>
      <c r="M13" s="2" t="s">
        <v>2</v>
      </c>
      <c r="N13" s="2" t="s">
        <v>366</v>
      </c>
      <c r="O13" s="2" t="s">
        <v>4154</v>
      </c>
      <c r="P13" s="4">
        <v>960</v>
      </c>
      <c r="Q13" s="4">
        <v>21275</v>
      </c>
      <c r="R13" s="3">
        <v>105000</v>
      </c>
      <c r="S13" s="4">
        <v>89000</v>
      </c>
      <c r="T13" s="4">
        <f t="shared" si="0"/>
        <v>0</v>
      </c>
      <c r="U13" s="4">
        <v>0</v>
      </c>
      <c r="V13" s="4">
        <v>0</v>
      </c>
      <c r="W13" s="4">
        <v>0</v>
      </c>
      <c r="X13" s="4">
        <v>0</v>
      </c>
      <c r="Y13" s="2" t="s">
        <v>4179</v>
      </c>
      <c r="Z13" s="2" t="s">
        <v>2</v>
      </c>
      <c r="AA13" s="2" t="s">
        <v>2</v>
      </c>
    </row>
    <row r="14" spans="1:27" ht="24" customHeight="1" x14ac:dyDescent="0.3">
      <c r="A14" s="2" t="s">
        <v>87</v>
      </c>
      <c r="B14" s="11"/>
      <c r="C14" s="11"/>
      <c r="D14" s="2" t="s">
        <v>3996</v>
      </c>
      <c r="E14" s="2" t="s">
        <v>4180</v>
      </c>
      <c r="F14" s="2" t="s">
        <v>3997</v>
      </c>
      <c r="G14" s="2" t="s">
        <v>3999</v>
      </c>
      <c r="H14" s="3">
        <v>21450</v>
      </c>
      <c r="I14" s="3">
        <v>2</v>
      </c>
      <c r="J14" s="2" t="s">
        <v>2</v>
      </c>
      <c r="K14" s="2" t="s">
        <v>4181</v>
      </c>
      <c r="L14" s="2" t="s">
        <v>4182</v>
      </c>
      <c r="M14" s="2" t="s">
        <v>4183</v>
      </c>
      <c r="N14" s="2" t="s">
        <v>366</v>
      </c>
      <c r="O14" s="2" t="s">
        <v>4157</v>
      </c>
      <c r="P14" s="4">
        <v>2000</v>
      </c>
      <c r="Q14" s="4">
        <v>23040</v>
      </c>
      <c r="R14" s="3">
        <v>60000</v>
      </c>
      <c r="S14" s="4">
        <v>446100</v>
      </c>
      <c r="T14" s="4">
        <f t="shared" si="0"/>
        <v>23302.300000000003</v>
      </c>
      <c r="U14" s="4">
        <v>20957.7</v>
      </c>
      <c r="V14" s="4">
        <v>2247.6999999999998</v>
      </c>
      <c r="W14" s="4">
        <v>96.9</v>
      </c>
      <c r="X14" s="4">
        <v>0</v>
      </c>
      <c r="Y14" s="2" t="s">
        <v>4184</v>
      </c>
      <c r="Z14" s="2" t="s">
        <v>2</v>
      </c>
      <c r="AA14" s="2" t="s">
        <v>2</v>
      </c>
    </row>
    <row r="15" spans="1:27" ht="24" customHeight="1" x14ac:dyDescent="0.3">
      <c r="A15" s="2" t="s">
        <v>92</v>
      </c>
      <c r="B15" s="11"/>
      <c r="C15" s="11"/>
      <c r="D15" s="2" t="s">
        <v>4185</v>
      </c>
      <c r="E15" s="2" t="s">
        <v>4186</v>
      </c>
      <c r="F15" s="2" t="s">
        <v>4187</v>
      </c>
      <c r="G15" s="2" t="s">
        <v>4188</v>
      </c>
      <c r="H15" s="3">
        <v>12759</v>
      </c>
      <c r="I15" s="3">
        <v>1</v>
      </c>
      <c r="J15" s="2" t="s">
        <v>4042</v>
      </c>
      <c r="K15" s="2" t="s">
        <v>4148</v>
      </c>
      <c r="L15" s="2" t="s">
        <v>4152</v>
      </c>
      <c r="M15" s="2" t="s">
        <v>2</v>
      </c>
      <c r="N15" s="2" t="s">
        <v>366</v>
      </c>
      <c r="O15" s="2" t="s">
        <v>2</v>
      </c>
      <c r="P15" s="4">
        <v>480</v>
      </c>
      <c r="Q15" s="4">
        <v>7885</v>
      </c>
      <c r="R15" s="3">
        <v>374000</v>
      </c>
      <c r="S15" s="4">
        <v>70931</v>
      </c>
      <c r="T15" s="4">
        <f t="shared" si="0"/>
        <v>0</v>
      </c>
      <c r="U15" s="4">
        <v>0</v>
      </c>
      <c r="V15" s="4">
        <v>0</v>
      </c>
      <c r="W15" s="4">
        <v>0</v>
      </c>
      <c r="X15" s="4">
        <v>0</v>
      </c>
      <c r="Y15" s="2" t="s">
        <v>4094</v>
      </c>
      <c r="Z15" s="2" t="s">
        <v>2</v>
      </c>
      <c r="AA15" s="2" t="s">
        <v>2</v>
      </c>
    </row>
    <row r="16" spans="1:27" ht="24" customHeight="1" x14ac:dyDescent="0.3">
      <c r="A16" s="2" t="s">
        <v>96</v>
      </c>
      <c r="B16" s="11"/>
      <c r="C16" s="11"/>
      <c r="D16" s="2" t="s">
        <v>4189</v>
      </c>
      <c r="E16" s="2" t="s">
        <v>4190</v>
      </c>
      <c r="F16" s="2" t="s">
        <v>405</v>
      </c>
      <c r="G16" s="2" t="s">
        <v>4191</v>
      </c>
      <c r="H16" s="3">
        <v>61030</v>
      </c>
      <c r="I16" s="3">
        <v>1</v>
      </c>
      <c r="J16" s="2" t="s">
        <v>3682</v>
      </c>
      <c r="K16" s="2" t="s">
        <v>4148</v>
      </c>
      <c r="L16" s="2" t="s">
        <v>4152</v>
      </c>
      <c r="M16" s="2" t="s">
        <v>4192</v>
      </c>
      <c r="N16" s="2" t="s">
        <v>46</v>
      </c>
      <c r="O16" s="2" t="s">
        <v>4150</v>
      </c>
      <c r="P16" s="4">
        <v>4800</v>
      </c>
      <c r="Q16" s="4">
        <v>96000</v>
      </c>
      <c r="R16" s="3">
        <v>280000</v>
      </c>
      <c r="S16" s="4">
        <v>1399283</v>
      </c>
      <c r="T16" s="4">
        <f t="shared" si="0"/>
        <v>44278</v>
      </c>
      <c r="U16" s="4">
        <v>41151.599999999999</v>
      </c>
      <c r="V16" s="4">
        <v>2969</v>
      </c>
      <c r="W16" s="4">
        <v>157.4</v>
      </c>
      <c r="X16" s="4">
        <v>0</v>
      </c>
      <c r="Y16" s="2" t="s">
        <v>4193</v>
      </c>
      <c r="Z16" s="2" t="s">
        <v>2</v>
      </c>
      <c r="AA16" s="2" t="s">
        <v>2</v>
      </c>
    </row>
    <row r="17" spans="1:27" ht="24" customHeight="1" x14ac:dyDescent="0.3">
      <c r="A17" s="2" t="s">
        <v>102</v>
      </c>
      <c r="B17" s="11"/>
      <c r="C17" s="11"/>
      <c r="D17" s="2" t="s">
        <v>4040</v>
      </c>
      <c r="E17" s="2" t="s">
        <v>4041</v>
      </c>
      <c r="F17" s="2" t="s">
        <v>3605</v>
      </c>
      <c r="G17" s="2" t="s">
        <v>4194</v>
      </c>
      <c r="H17" s="3">
        <v>3320</v>
      </c>
      <c r="I17" s="3">
        <v>4</v>
      </c>
      <c r="J17" s="2" t="s">
        <v>2</v>
      </c>
      <c r="K17" s="2" t="s">
        <v>4148</v>
      </c>
      <c r="L17" s="2" t="s">
        <v>4152</v>
      </c>
      <c r="M17" s="2" t="s">
        <v>4152</v>
      </c>
      <c r="N17" s="2" t="s">
        <v>366</v>
      </c>
      <c r="O17" s="2" t="s">
        <v>2</v>
      </c>
      <c r="P17" s="4">
        <v>600</v>
      </c>
      <c r="Q17" s="4">
        <v>6201</v>
      </c>
      <c r="R17" s="3">
        <v>100000</v>
      </c>
      <c r="S17" s="4">
        <v>250224</v>
      </c>
      <c r="T17" s="4">
        <f t="shared" si="0"/>
        <v>0</v>
      </c>
      <c r="U17" s="4">
        <v>0</v>
      </c>
      <c r="V17" s="4">
        <v>0</v>
      </c>
      <c r="W17" s="4">
        <v>0</v>
      </c>
      <c r="X17" s="4">
        <v>0</v>
      </c>
      <c r="Y17" s="2" t="s">
        <v>4195</v>
      </c>
      <c r="Z17" s="2" t="s">
        <v>2</v>
      </c>
      <c r="AA17" s="2" t="s">
        <v>2</v>
      </c>
    </row>
    <row r="18" spans="1:27" ht="24" customHeight="1" x14ac:dyDescent="0.3">
      <c r="A18" s="2" t="s">
        <v>104</v>
      </c>
      <c r="B18" s="11"/>
      <c r="C18" s="11"/>
      <c r="D18" s="2" t="s">
        <v>4045</v>
      </c>
      <c r="E18" s="2" t="s">
        <v>4046</v>
      </c>
      <c r="F18" s="2" t="s">
        <v>3536</v>
      </c>
      <c r="G18" s="2" t="s">
        <v>4047</v>
      </c>
      <c r="H18" s="3">
        <v>14877</v>
      </c>
      <c r="I18" s="3">
        <v>8</v>
      </c>
      <c r="J18" s="2" t="s">
        <v>2</v>
      </c>
      <c r="K18" s="2" t="s">
        <v>4196</v>
      </c>
      <c r="L18" s="2" t="s">
        <v>4197</v>
      </c>
      <c r="M18" s="2" t="s">
        <v>4198</v>
      </c>
      <c r="N18" s="2" t="s">
        <v>366</v>
      </c>
      <c r="O18" s="2" t="s">
        <v>4157</v>
      </c>
      <c r="P18" s="4">
        <v>3200</v>
      </c>
      <c r="Q18" s="4">
        <v>32848</v>
      </c>
      <c r="R18" s="3">
        <v>690000</v>
      </c>
      <c r="S18" s="4">
        <v>651052</v>
      </c>
      <c r="T18" s="4">
        <f t="shared" si="0"/>
        <v>6677.7</v>
      </c>
      <c r="U18" s="4">
        <v>6677.7</v>
      </c>
      <c r="V18" s="4">
        <v>0</v>
      </c>
      <c r="W18" s="4">
        <v>0</v>
      </c>
      <c r="X18" s="4">
        <v>0</v>
      </c>
      <c r="Y18" s="2" t="s">
        <v>3665</v>
      </c>
      <c r="Z18" s="2" t="s">
        <v>2</v>
      </c>
      <c r="AA18" s="2" t="s">
        <v>2</v>
      </c>
    </row>
    <row r="19" spans="1:27" ht="24" customHeight="1" x14ac:dyDescent="0.3">
      <c r="A19" s="2" t="s">
        <v>105</v>
      </c>
      <c r="B19" s="11"/>
      <c r="C19" s="11"/>
      <c r="D19" s="2" t="s">
        <v>4199</v>
      </c>
      <c r="E19" s="2" t="s">
        <v>4200</v>
      </c>
      <c r="F19" s="2" t="s">
        <v>4201</v>
      </c>
      <c r="G19" s="2" t="s">
        <v>4202</v>
      </c>
      <c r="H19" s="3">
        <v>7494</v>
      </c>
      <c r="I19" s="3">
        <v>0</v>
      </c>
      <c r="J19" s="2" t="s">
        <v>4042</v>
      </c>
      <c r="K19" s="2" t="s">
        <v>4203</v>
      </c>
      <c r="L19" s="2" t="s">
        <v>4204</v>
      </c>
      <c r="M19" s="2" t="s">
        <v>2</v>
      </c>
      <c r="N19" s="2" t="s">
        <v>366</v>
      </c>
      <c r="O19" s="2" t="s">
        <v>4154</v>
      </c>
      <c r="P19" s="4">
        <v>400</v>
      </c>
      <c r="Q19" s="4">
        <v>5464</v>
      </c>
      <c r="R19" s="3">
        <v>10000</v>
      </c>
      <c r="S19" s="4">
        <v>28850</v>
      </c>
      <c r="T19" s="4">
        <f t="shared" si="0"/>
        <v>0</v>
      </c>
      <c r="U19" s="4">
        <v>0</v>
      </c>
      <c r="V19" s="4">
        <v>0</v>
      </c>
      <c r="W19" s="4">
        <v>0</v>
      </c>
      <c r="X19" s="4">
        <v>0</v>
      </c>
      <c r="Y19" s="2" t="s">
        <v>278</v>
      </c>
      <c r="Z19" s="2" t="s">
        <v>2</v>
      </c>
      <c r="AA19" s="2" t="s">
        <v>2</v>
      </c>
    </row>
    <row r="20" spans="1:27" ht="24" customHeight="1" x14ac:dyDescent="0.3">
      <c r="A20" s="2" t="s">
        <v>106</v>
      </c>
      <c r="B20" s="11"/>
      <c r="C20" s="11"/>
      <c r="D20" s="2" t="s">
        <v>4205</v>
      </c>
      <c r="E20" s="2" t="s">
        <v>4206</v>
      </c>
      <c r="F20" s="2" t="s">
        <v>3605</v>
      </c>
      <c r="G20" s="2" t="s">
        <v>4207</v>
      </c>
      <c r="H20" s="3">
        <v>5805</v>
      </c>
      <c r="I20" s="3">
        <v>0</v>
      </c>
      <c r="J20" s="2" t="s">
        <v>2</v>
      </c>
      <c r="K20" s="2" t="s">
        <v>4152</v>
      </c>
      <c r="L20" s="2" t="s">
        <v>2</v>
      </c>
      <c r="M20" s="2" t="s">
        <v>2</v>
      </c>
      <c r="N20" s="2" t="s">
        <v>366</v>
      </c>
      <c r="O20" s="2" t="s">
        <v>2</v>
      </c>
      <c r="P20" s="4">
        <v>400</v>
      </c>
      <c r="Q20" s="4">
        <v>5031</v>
      </c>
      <c r="R20" s="3">
        <v>180000</v>
      </c>
      <c r="S20" s="4">
        <v>0</v>
      </c>
      <c r="T20" s="4">
        <f t="shared" si="0"/>
        <v>0</v>
      </c>
      <c r="U20" s="4">
        <v>0</v>
      </c>
      <c r="V20" s="4">
        <v>0</v>
      </c>
      <c r="W20" s="4">
        <v>0</v>
      </c>
      <c r="X20" s="4">
        <v>0</v>
      </c>
      <c r="Y20" s="2" t="s">
        <v>3430</v>
      </c>
      <c r="Z20" s="2" t="s">
        <v>2</v>
      </c>
      <c r="AA20" s="2" t="s">
        <v>2</v>
      </c>
    </row>
    <row r="21" spans="1:27" ht="24" customHeight="1" x14ac:dyDescent="0.3">
      <c r="A21" s="2" t="s">
        <v>107</v>
      </c>
      <c r="B21" s="11"/>
      <c r="C21" s="11"/>
      <c r="D21" s="2" t="s">
        <v>4208</v>
      </c>
      <c r="E21" s="2" t="s">
        <v>4209</v>
      </c>
      <c r="F21" s="2" t="s">
        <v>4210</v>
      </c>
      <c r="G21" s="2" t="s">
        <v>4211</v>
      </c>
      <c r="H21" s="3">
        <v>8206</v>
      </c>
      <c r="I21" s="3">
        <v>0</v>
      </c>
      <c r="J21" s="2" t="s">
        <v>4042</v>
      </c>
      <c r="K21" s="2" t="s">
        <v>4212</v>
      </c>
      <c r="L21" s="2" t="s">
        <v>2</v>
      </c>
      <c r="M21" s="2" t="s">
        <v>2</v>
      </c>
      <c r="N21" s="2" t="s">
        <v>366</v>
      </c>
      <c r="O21" s="2" t="s">
        <v>4154</v>
      </c>
      <c r="P21" s="4">
        <v>480</v>
      </c>
      <c r="Q21" s="4">
        <v>4801</v>
      </c>
      <c r="R21" s="3">
        <v>100000</v>
      </c>
      <c r="S21" s="4">
        <v>34100</v>
      </c>
      <c r="T21" s="4">
        <f t="shared" si="0"/>
        <v>0</v>
      </c>
      <c r="U21" s="4">
        <v>0</v>
      </c>
      <c r="V21" s="4">
        <v>0</v>
      </c>
      <c r="W21" s="4">
        <v>0</v>
      </c>
      <c r="X21" s="4">
        <v>0</v>
      </c>
      <c r="Y21" s="2" t="s">
        <v>4213</v>
      </c>
      <c r="Z21" s="2" t="s">
        <v>2</v>
      </c>
      <c r="AA21" s="2" t="s">
        <v>2</v>
      </c>
    </row>
    <row r="22" spans="1:27" ht="24" customHeight="1" x14ac:dyDescent="0.3">
      <c r="A22" s="2" t="s">
        <v>108</v>
      </c>
      <c r="B22" s="11"/>
      <c r="C22" s="11"/>
      <c r="D22" s="2" t="s">
        <v>4214</v>
      </c>
      <c r="E22" s="2" t="s">
        <v>4215</v>
      </c>
      <c r="F22" s="2" t="s">
        <v>4216</v>
      </c>
      <c r="G22" s="2" t="s">
        <v>4217</v>
      </c>
      <c r="H22" s="3">
        <v>4959</v>
      </c>
      <c r="I22" s="3">
        <v>0</v>
      </c>
      <c r="J22" s="2" t="s">
        <v>4042</v>
      </c>
      <c r="K22" s="2" t="s">
        <v>4148</v>
      </c>
      <c r="L22" s="2" t="s">
        <v>4218</v>
      </c>
      <c r="M22" s="2" t="s">
        <v>2</v>
      </c>
      <c r="N22" s="2" t="s">
        <v>366</v>
      </c>
      <c r="O22" s="2" t="s">
        <v>4154</v>
      </c>
      <c r="P22" s="4">
        <v>400</v>
      </c>
      <c r="Q22" s="4">
        <v>4682</v>
      </c>
      <c r="R22" s="3">
        <v>25000</v>
      </c>
      <c r="S22" s="4">
        <v>63400</v>
      </c>
      <c r="T22" s="4">
        <f t="shared" si="0"/>
        <v>0</v>
      </c>
      <c r="U22" s="4">
        <v>0</v>
      </c>
      <c r="V22" s="4">
        <v>0</v>
      </c>
      <c r="W22" s="4">
        <v>0</v>
      </c>
      <c r="X22" s="4">
        <v>0</v>
      </c>
      <c r="Y22" s="2" t="s">
        <v>3650</v>
      </c>
      <c r="Z22" s="2" t="s">
        <v>2</v>
      </c>
      <c r="AA22" s="2" t="s">
        <v>2</v>
      </c>
    </row>
    <row r="23" spans="1:27" ht="24" customHeight="1" x14ac:dyDescent="0.3">
      <c r="A23" s="2" t="s">
        <v>109</v>
      </c>
      <c r="B23" s="11"/>
      <c r="C23" s="11"/>
      <c r="D23" s="2" t="s">
        <v>4219</v>
      </c>
      <c r="E23" s="2" t="s">
        <v>4220</v>
      </c>
      <c r="F23" s="2" t="s">
        <v>4221</v>
      </c>
      <c r="G23" s="2" t="s">
        <v>4222</v>
      </c>
      <c r="H23" s="3">
        <v>9586</v>
      </c>
      <c r="I23" s="3">
        <v>1</v>
      </c>
      <c r="J23" s="2" t="s">
        <v>4100</v>
      </c>
      <c r="K23" s="2" t="s">
        <v>4223</v>
      </c>
      <c r="L23" s="2" t="s">
        <v>2</v>
      </c>
      <c r="M23" s="2" t="s">
        <v>2</v>
      </c>
      <c r="N23" s="2" t="s">
        <v>366</v>
      </c>
      <c r="O23" s="2" t="s">
        <v>2</v>
      </c>
      <c r="P23" s="4">
        <v>600</v>
      </c>
      <c r="Q23" s="4">
        <v>8117</v>
      </c>
      <c r="R23" s="3">
        <v>50000</v>
      </c>
      <c r="S23" s="4">
        <v>13730</v>
      </c>
      <c r="T23" s="4">
        <f t="shared" si="0"/>
        <v>0</v>
      </c>
      <c r="U23" s="4">
        <v>0</v>
      </c>
      <c r="V23" s="4">
        <v>0</v>
      </c>
      <c r="W23" s="4">
        <v>0</v>
      </c>
      <c r="X23" s="4">
        <v>0</v>
      </c>
      <c r="Y23" s="2" t="s">
        <v>4224</v>
      </c>
      <c r="Z23" s="2" t="s">
        <v>2</v>
      </c>
      <c r="AA23" s="2" t="s">
        <v>2</v>
      </c>
    </row>
  </sheetData>
  <autoFilter ref="A5:AA5" xr:uid="{00000000-0009-0000-0000-00000B000000}"/>
  <mergeCells count="22">
    <mergeCell ref="N4:N5"/>
    <mergeCell ref="O4:O5"/>
    <mergeCell ref="T4:X4"/>
    <mergeCell ref="B6:B23"/>
    <mergeCell ref="C6"/>
    <mergeCell ref="C7:C23"/>
    <mergeCell ref="Y4:Y5"/>
    <mergeCell ref="Z4:Z5"/>
    <mergeCell ref="AA4:AA5"/>
    <mergeCell ref="A1:AA1"/>
    <mergeCell ref="A2:AA2"/>
    <mergeCell ref="A4:A5"/>
    <mergeCell ref="B4:B5"/>
    <mergeCell ref="C4:C5"/>
    <mergeCell ref="D4:D5"/>
    <mergeCell ref="E4:E5"/>
    <mergeCell ref="F4:F5"/>
    <mergeCell ref="G4:G5"/>
    <mergeCell ref="H4:H5"/>
    <mergeCell ref="I4:I5"/>
    <mergeCell ref="J4:J5"/>
    <mergeCell ref="K4:M4"/>
  </mergeCells>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C8749-0EBA-403D-A9A9-0DEC4F3D050A}">
  <dimension ref="A1:AJ6"/>
  <sheetViews>
    <sheetView workbookViewId="0">
      <selection activeCell="F6" sqref="F6"/>
    </sheetView>
  </sheetViews>
  <sheetFormatPr defaultRowHeight="16.5" x14ac:dyDescent="0.3"/>
  <cols>
    <col min="1" max="1" width="6" customWidth="1"/>
    <col min="2" max="3" width="12.625" customWidth="1"/>
    <col min="4" max="4" width="17.875" customWidth="1"/>
    <col min="5" max="5" width="14.875" customWidth="1"/>
    <col min="6" max="6" width="26.75" customWidth="1"/>
    <col min="7" max="7" width="11.875" customWidth="1"/>
    <col min="8" max="8" width="20.75" customWidth="1"/>
    <col min="9" max="9" width="16.375" customWidth="1"/>
    <col min="10" max="10" width="11.75" customWidth="1"/>
    <col min="11" max="21" width="10.375" customWidth="1"/>
    <col min="22" max="22" width="11.875" customWidth="1"/>
    <col min="23" max="23" width="11.75" customWidth="1"/>
    <col min="24" max="25" width="10.375" customWidth="1"/>
    <col min="26" max="26" width="9" customWidth="1"/>
    <col min="27" max="27" width="9.5" customWidth="1"/>
    <col min="28" max="31" width="10.375" customWidth="1"/>
    <col min="32" max="32" width="13.5" customWidth="1"/>
    <col min="33" max="33" width="10.375" customWidth="1"/>
    <col min="34" max="34" width="11.875" customWidth="1"/>
    <col min="35" max="36" width="10.375" customWidth="1"/>
  </cols>
  <sheetData>
    <row r="1" spans="1:36" ht="18.75" x14ac:dyDescent="0.3">
      <c r="A1" s="8" t="s">
        <v>4231</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row>
    <row r="2" spans="1:36"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t="s">
        <v>2</v>
      </c>
    </row>
    <row r="3" spans="1:36" ht="24" customHeight="1" x14ac:dyDescent="0.3">
      <c r="A3" s="10" t="s">
        <v>3</v>
      </c>
      <c r="B3" s="10" t="s">
        <v>4</v>
      </c>
      <c r="C3" s="10" t="s">
        <v>5</v>
      </c>
      <c r="D3" s="10" t="s">
        <v>382</v>
      </c>
      <c r="E3" s="10" t="s">
        <v>383</v>
      </c>
      <c r="F3" s="10" t="s">
        <v>7</v>
      </c>
      <c r="G3" s="10" t="s">
        <v>627</v>
      </c>
      <c r="H3" s="10"/>
      <c r="I3" s="10"/>
      <c r="J3" s="10"/>
      <c r="K3" s="10" t="s">
        <v>4232</v>
      </c>
      <c r="L3" s="10"/>
      <c r="M3" s="10"/>
      <c r="N3" s="10"/>
      <c r="O3" s="10"/>
      <c r="P3" s="10"/>
      <c r="Q3" s="10"/>
      <c r="R3" s="10"/>
      <c r="S3" s="10"/>
      <c r="T3" s="10"/>
      <c r="U3" s="10"/>
      <c r="V3" s="10" t="s">
        <v>4233</v>
      </c>
      <c r="W3" s="10"/>
      <c r="X3" s="10"/>
      <c r="Y3" s="10"/>
      <c r="Z3" s="10"/>
      <c r="AA3" s="10"/>
      <c r="AB3" s="10"/>
      <c r="AC3" s="10"/>
      <c r="AD3" s="10"/>
      <c r="AE3" s="10"/>
      <c r="AF3" s="10"/>
      <c r="AG3" s="10" t="s">
        <v>384</v>
      </c>
      <c r="AH3" s="10" t="s">
        <v>18</v>
      </c>
      <c r="AI3" s="10" t="s">
        <v>19</v>
      </c>
      <c r="AJ3" s="10" t="s">
        <v>22</v>
      </c>
    </row>
    <row r="4" spans="1:36" ht="24" customHeight="1" x14ac:dyDescent="0.3">
      <c r="A4" s="10"/>
      <c r="B4" s="10"/>
      <c r="C4" s="10"/>
      <c r="D4" s="10"/>
      <c r="E4" s="10"/>
      <c r="F4" s="10"/>
      <c r="G4" s="10" t="s">
        <v>26</v>
      </c>
      <c r="H4" s="10" t="s">
        <v>27</v>
      </c>
      <c r="I4" s="10" t="s">
        <v>28</v>
      </c>
      <c r="J4" s="10" t="s">
        <v>29</v>
      </c>
      <c r="K4" s="10" t="s">
        <v>4234</v>
      </c>
      <c r="L4" s="10"/>
      <c r="M4" s="10"/>
      <c r="N4" s="10" t="s">
        <v>4235</v>
      </c>
      <c r="O4" s="10"/>
      <c r="P4" s="10"/>
      <c r="Q4" s="10" t="s">
        <v>14</v>
      </c>
      <c r="R4" s="10"/>
      <c r="S4" s="10"/>
      <c r="T4" s="10"/>
      <c r="U4" s="10"/>
      <c r="V4" s="10" t="s">
        <v>313</v>
      </c>
      <c r="W4" s="10" t="s">
        <v>312</v>
      </c>
      <c r="X4" s="10" t="s">
        <v>314</v>
      </c>
      <c r="Y4" s="10"/>
      <c r="Z4" s="10" t="s">
        <v>315</v>
      </c>
      <c r="AA4" s="10"/>
      <c r="AB4" s="10" t="s">
        <v>4236</v>
      </c>
      <c r="AC4" s="10" t="s">
        <v>4237</v>
      </c>
      <c r="AD4" s="10" t="s">
        <v>599</v>
      </c>
      <c r="AE4" s="10"/>
      <c r="AF4" s="6" t="s">
        <v>319</v>
      </c>
      <c r="AG4" s="10"/>
      <c r="AH4" s="10"/>
      <c r="AI4" s="10"/>
      <c r="AJ4" s="10"/>
    </row>
    <row r="5" spans="1:36" ht="45" customHeight="1" x14ac:dyDescent="0.3">
      <c r="A5" s="10"/>
      <c r="B5" s="10"/>
      <c r="C5" s="10"/>
      <c r="D5" s="10"/>
      <c r="E5" s="10"/>
      <c r="F5" s="10"/>
      <c r="G5" s="10"/>
      <c r="H5" s="10"/>
      <c r="I5" s="10"/>
      <c r="J5" s="10"/>
      <c r="K5" s="6" t="s">
        <v>4238</v>
      </c>
      <c r="L5" s="6" t="s">
        <v>4239</v>
      </c>
      <c r="M5" s="6" t="s">
        <v>4240</v>
      </c>
      <c r="N5" s="6" t="s">
        <v>4238</v>
      </c>
      <c r="O5" s="6" t="s">
        <v>4239</v>
      </c>
      <c r="P5" s="6" t="s">
        <v>4240</v>
      </c>
      <c r="Q5" s="6" t="s">
        <v>33</v>
      </c>
      <c r="R5" s="6" t="s">
        <v>34</v>
      </c>
      <c r="S5" s="6" t="s">
        <v>35</v>
      </c>
      <c r="T5" s="6" t="s">
        <v>36</v>
      </c>
      <c r="U5" s="6" t="s">
        <v>37</v>
      </c>
      <c r="V5" s="10"/>
      <c r="W5" s="10"/>
      <c r="X5" s="6" t="s">
        <v>4241</v>
      </c>
      <c r="Y5" s="6" t="s">
        <v>325</v>
      </c>
      <c r="Z5" s="6" t="s">
        <v>4241</v>
      </c>
      <c r="AA5" s="6" t="s">
        <v>325</v>
      </c>
      <c r="AB5" s="10"/>
      <c r="AC5" s="10"/>
      <c r="AD5" s="6" t="s">
        <v>327</v>
      </c>
      <c r="AE5" s="6" t="s">
        <v>32</v>
      </c>
      <c r="AF5" s="6" t="s">
        <v>328</v>
      </c>
      <c r="AG5" s="10"/>
      <c r="AH5" s="10"/>
      <c r="AI5" s="10"/>
      <c r="AJ5" s="10"/>
    </row>
    <row r="6" spans="1:36" ht="24" customHeight="1" x14ac:dyDescent="0.3">
      <c r="A6" s="7" t="s">
        <v>2</v>
      </c>
      <c r="B6" s="7" t="s">
        <v>2</v>
      </c>
      <c r="C6" s="7" t="s">
        <v>2</v>
      </c>
      <c r="D6" s="7" t="s">
        <v>2</v>
      </c>
      <c r="E6" s="7" t="s">
        <v>2</v>
      </c>
      <c r="F6" s="7" t="s">
        <v>2</v>
      </c>
      <c r="G6" s="7" t="s">
        <v>2</v>
      </c>
      <c r="H6" s="7" t="s">
        <v>2</v>
      </c>
      <c r="I6" s="7" t="s">
        <v>2</v>
      </c>
      <c r="J6" s="7" t="s">
        <v>2</v>
      </c>
      <c r="K6" s="7" t="s">
        <v>2</v>
      </c>
      <c r="L6" s="4">
        <v>0</v>
      </c>
      <c r="M6" s="4">
        <v>0</v>
      </c>
      <c r="N6" s="7" t="s">
        <v>2</v>
      </c>
      <c r="O6" s="4">
        <v>0</v>
      </c>
      <c r="P6" s="4">
        <v>0</v>
      </c>
      <c r="Q6" s="4">
        <f>SUM(R6:U6)</f>
        <v>0</v>
      </c>
      <c r="R6" s="4">
        <v>0</v>
      </c>
      <c r="S6" s="4">
        <v>0</v>
      </c>
      <c r="T6" s="4">
        <v>0</v>
      </c>
      <c r="U6" s="4">
        <v>0</v>
      </c>
      <c r="V6" s="7" t="s">
        <v>2</v>
      </c>
      <c r="W6" s="7" t="s">
        <v>2</v>
      </c>
      <c r="X6" s="4">
        <v>0</v>
      </c>
      <c r="Y6" s="4">
        <v>0</v>
      </c>
      <c r="Z6" s="4">
        <v>0</v>
      </c>
      <c r="AA6" s="4">
        <v>0</v>
      </c>
      <c r="AB6" s="4">
        <v>0</v>
      </c>
      <c r="AC6" s="4">
        <f>AA6-AB6</f>
        <v>0</v>
      </c>
      <c r="AD6" s="4">
        <v>0</v>
      </c>
      <c r="AE6" s="4">
        <v>0</v>
      </c>
      <c r="AF6" s="7" t="s">
        <v>2</v>
      </c>
      <c r="AG6" s="7" t="s">
        <v>2</v>
      </c>
      <c r="AH6" s="7" t="s">
        <v>2</v>
      </c>
      <c r="AI6" s="7" t="s">
        <v>2</v>
      </c>
      <c r="AJ6" s="7" t="s">
        <v>2</v>
      </c>
    </row>
  </sheetData>
  <autoFilter ref="A5:AJ5" xr:uid="{00000000-0009-0000-0000-00000D000000}"/>
  <mergeCells count="28">
    <mergeCell ref="A1:AJ1"/>
    <mergeCell ref="A3:A5"/>
    <mergeCell ref="B3:B5"/>
    <mergeCell ref="C3:C5"/>
    <mergeCell ref="D3:D5"/>
    <mergeCell ref="E3:E5"/>
    <mergeCell ref="F3:F5"/>
    <mergeCell ref="G3:J3"/>
    <mergeCell ref="K3:U3"/>
    <mergeCell ref="V3:AF3"/>
    <mergeCell ref="AG3:AG5"/>
    <mergeCell ref="AH3:AH5"/>
    <mergeCell ref="AI3:AI5"/>
    <mergeCell ref="AJ3:AJ5"/>
    <mergeCell ref="G4:G5"/>
    <mergeCell ref="H4:H5"/>
    <mergeCell ref="I4:I5"/>
    <mergeCell ref="J4:J5"/>
    <mergeCell ref="K4:M4"/>
    <mergeCell ref="N4:P4"/>
    <mergeCell ref="AC4:AC5"/>
    <mergeCell ref="AD4:AE4"/>
    <mergeCell ref="Q4:U4"/>
    <mergeCell ref="V4:V5"/>
    <mergeCell ref="W4:W5"/>
    <mergeCell ref="X4:Y4"/>
    <mergeCell ref="Z4:AA4"/>
    <mergeCell ref="AB4:AB5"/>
  </mergeCells>
  <phoneticPr fontId="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6"/>
  <sheetViews>
    <sheetView workbookViewId="0">
      <selection activeCell="F6" sqref="F6"/>
    </sheetView>
  </sheetViews>
  <sheetFormatPr defaultRowHeight="16.5" x14ac:dyDescent="0.3"/>
  <cols>
    <col min="1" max="1" width="6" customWidth="1"/>
    <col min="2" max="3" width="12.625" customWidth="1"/>
    <col min="4" max="4" width="17.875" customWidth="1"/>
    <col min="5" max="5" width="14.875" customWidth="1"/>
    <col min="6" max="6" width="26.75" customWidth="1"/>
    <col min="7" max="7" width="11.875" customWidth="1"/>
    <col min="8" max="8" width="20.75" customWidth="1"/>
    <col min="9" max="9" width="16.375" customWidth="1"/>
    <col min="10" max="10" width="11.75" customWidth="1"/>
    <col min="11" max="21" width="10.375" customWidth="1"/>
    <col min="22" max="22" width="11.875" customWidth="1"/>
    <col min="23" max="23" width="11.75" customWidth="1"/>
    <col min="24" max="25" width="10.375" customWidth="1"/>
    <col min="26" max="26" width="9" customWidth="1"/>
    <col min="27" max="27" width="9.5" customWidth="1"/>
    <col min="28" max="31" width="10.375" customWidth="1"/>
    <col min="32" max="32" width="13.5" customWidth="1"/>
    <col min="33" max="33" width="10.375" customWidth="1"/>
    <col min="34" max="34" width="11.875" customWidth="1"/>
    <col min="35" max="36" width="10.375" customWidth="1"/>
  </cols>
  <sheetData>
    <row r="1" spans="1:36" ht="18.75" x14ac:dyDescent="0.3">
      <c r="A1" s="8" t="s">
        <v>4231</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row>
    <row r="2" spans="1:36"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t="s">
        <v>2</v>
      </c>
    </row>
    <row r="3" spans="1:36" ht="24" customHeight="1" x14ac:dyDescent="0.3">
      <c r="A3" s="10" t="s">
        <v>3</v>
      </c>
      <c r="B3" s="10" t="s">
        <v>4</v>
      </c>
      <c r="C3" s="10" t="s">
        <v>5</v>
      </c>
      <c r="D3" s="10" t="s">
        <v>382</v>
      </c>
      <c r="E3" s="10" t="s">
        <v>383</v>
      </c>
      <c r="F3" s="10" t="s">
        <v>7</v>
      </c>
      <c r="G3" s="10" t="s">
        <v>627</v>
      </c>
      <c r="H3" s="10"/>
      <c r="I3" s="10"/>
      <c r="J3" s="10"/>
      <c r="K3" s="10" t="s">
        <v>4232</v>
      </c>
      <c r="L3" s="10"/>
      <c r="M3" s="10"/>
      <c r="N3" s="10"/>
      <c r="O3" s="10"/>
      <c r="P3" s="10"/>
      <c r="Q3" s="10"/>
      <c r="R3" s="10"/>
      <c r="S3" s="10"/>
      <c r="T3" s="10"/>
      <c r="U3" s="10"/>
      <c r="V3" s="10" t="s">
        <v>4233</v>
      </c>
      <c r="W3" s="10"/>
      <c r="X3" s="10"/>
      <c r="Y3" s="10"/>
      <c r="Z3" s="10"/>
      <c r="AA3" s="10"/>
      <c r="AB3" s="10"/>
      <c r="AC3" s="10"/>
      <c r="AD3" s="10"/>
      <c r="AE3" s="10"/>
      <c r="AF3" s="10"/>
      <c r="AG3" s="10" t="s">
        <v>384</v>
      </c>
      <c r="AH3" s="10" t="s">
        <v>18</v>
      </c>
      <c r="AI3" s="10" t="s">
        <v>19</v>
      </c>
      <c r="AJ3" s="10" t="s">
        <v>22</v>
      </c>
    </row>
    <row r="4" spans="1:36" ht="24" customHeight="1" x14ac:dyDescent="0.3">
      <c r="A4" s="10"/>
      <c r="B4" s="10"/>
      <c r="C4" s="10"/>
      <c r="D4" s="10"/>
      <c r="E4" s="10"/>
      <c r="F4" s="10"/>
      <c r="G4" s="10" t="s">
        <v>26</v>
      </c>
      <c r="H4" s="10" t="s">
        <v>27</v>
      </c>
      <c r="I4" s="10" t="s">
        <v>28</v>
      </c>
      <c r="J4" s="10" t="s">
        <v>29</v>
      </c>
      <c r="K4" s="10" t="s">
        <v>4234</v>
      </c>
      <c r="L4" s="10"/>
      <c r="M4" s="10"/>
      <c r="N4" s="10" t="s">
        <v>4235</v>
      </c>
      <c r="O4" s="10"/>
      <c r="P4" s="10"/>
      <c r="Q4" s="10" t="s">
        <v>14</v>
      </c>
      <c r="R4" s="10"/>
      <c r="S4" s="10"/>
      <c r="T4" s="10"/>
      <c r="U4" s="10"/>
      <c r="V4" s="10" t="s">
        <v>313</v>
      </c>
      <c r="W4" s="10" t="s">
        <v>312</v>
      </c>
      <c r="X4" s="10" t="s">
        <v>314</v>
      </c>
      <c r="Y4" s="10"/>
      <c r="Z4" s="10" t="s">
        <v>315</v>
      </c>
      <c r="AA4" s="10"/>
      <c r="AB4" s="10" t="s">
        <v>4236</v>
      </c>
      <c r="AC4" s="10" t="s">
        <v>4237</v>
      </c>
      <c r="AD4" s="10" t="s">
        <v>599</v>
      </c>
      <c r="AE4" s="10"/>
      <c r="AF4" s="1" t="s">
        <v>319</v>
      </c>
      <c r="AG4" s="10"/>
      <c r="AH4" s="10"/>
      <c r="AI4" s="10"/>
      <c r="AJ4" s="10"/>
    </row>
    <row r="5" spans="1:36" ht="45" customHeight="1" x14ac:dyDescent="0.3">
      <c r="A5" s="10"/>
      <c r="B5" s="10"/>
      <c r="C5" s="10"/>
      <c r="D5" s="10"/>
      <c r="E5" s="10"/>
      <c r="F5" s="10"/>
      <c r="G5" s="10"/>
      <c r="H5" s="10"/>
      <c r="I5" s="10"/>
      <c r="J5" s="10"/>
      <c r="K5" s="1" t="s">
        <v>4238</v>
      </c>
      <c r="L5" s="1" t="s">
        <v>4239</v>
      </c>
      <c r="M5" s="1" t="s">
        <v>4240</v>
      </c>
      <c r="N5" s="1" t="s">
        <v>4238</v>
      </c>
      <c r="O5" s="1" t="s">
        <v>4239</v>
      </c>
      <c r="P5" s="1" t="s">
        <v>4240</v>
      </c>
      <c r="Q5" s="1" t="s">
        <v>33</v>
      </c>
      <c r="R5" s="1" t="s">
        <v>34</v>
      </c>
      <c r="S5" s="1" t="s">
        <v>35</v>
      </c>
      <c r="T5" s="1" t="s">
        <v>36</v>
      </c>
      <c r="U5" s="1" t="s">
        <v>37</v>
      </c>
      <c r="V5" s="10"/>
      <c r="W5" s="10"/>
      <c r="X5" s="1" t="s">
        <v>4241</v>
      </c>
      <c r="Y5" s="1" t="s">
        <v>325</v>
      </c>
      <c r="Z5" s="1" t="s">
        <v>4241</v>
      </c>
      <c r="AA5" s="1" t="s">
        <v>325</v>
      </c>
      <c r="AB5" s="10"/>
      <c r="AC5" s="10"/>
      <c r="AD5" s="1" t="s">
        <v>327</v>
      </c>
      <c r="AE5" s="1" t="s">
        <v>32</v>
      </c>
      <c r="AF5" s="1" t="s">
        <v>328</v>
      </c>
      <c r="AG5" s="10"/>
      <c r="AH5" s="10"/>
      <c r="AI5" s="10"/>
      <c r="AJ5" s="10"/>
    </row>
    <row r="6" spans="1:36" ht="24" customHeight="1" x14ac:dyDescent="0.3">
      <c r="A6" s="2" t="s">
        <v>2</v>
      </c>
      <c r="B6" s="11" t="s">
        <v>2</v>
      </c>
      <c r="C6" s="11" t="s">
        <v>2</v>
      </c>
      <c r="D6" s="11" t="s">
        <v>2</v>
      </c>
      <c r="E6" s="11" t="s">
        <v>2</v>
      </c>
      <c r="F6" s="11" t="s">
        <v>2</v>
      </c>
      <c r="G6" s="2" t="s">
        <v>2</v>
      </c>
      <c r="H6" s="2" t="s">
        <v>2</v>
      </c>
      <c r="I6" s="2" t="s">
        <v>2</v>
      </c>
      <c r="J6" s="2" t="s">
        <v>2</v>
      </c>
      <c r="K6" s="2" t="s">
        <v>2</v>
      </c>
      <c r="L6" s="4">
        <v>0</v>
      </c>
      <c r="M6" s="4">
        <v>0</v>
      </c>
      <c r="N6" s="2" t="s">
        <v>2</v>
      </c>
      <c r="O6" s="4">
        <v>0</v>
      </c>
      <c r="P6" s="4">
        <v>0</v>
      </c>
      <c r="Q6" s="4">
        <f>SUM(R6:U6)</f>
        <v>0</v>
      </c>
      <c r="R6" s="4">
        <v>0</v>
      </c>
      <c r="S6" s="4">
        <v>0</v>
      </c>
      <c r="T6" s="4">
        <v>0</v>
      </c>
      <c r="U6" s="4">
        <v>0</v>
      </c>
      <c r="V6" s="2" t="s">
        <v>2</v>
      </c>
      <c r="W6" s="2" t="s">
        <v>2</v>
      </c>
      <c r="X6" s="4">
        <v>0</v>
      </c>
      <c r="Y6" s="4">
        <v>0</v>
      </c>
      <c r="Z6" s="4">
        <v>0</v>
      </c>
      <c r="AA6" s="4">
        <v>0</v>
      </c>
      <c r="AB6" s="4">
        <v>0</v>
      </c>
      <c r="AC6" s="4">
        <f>AA6-AB6</f>
        <v>0</v>
      </c>
      <c r="AD6" s="4">
        <v>0</v>
      </c>
      <c r="AE6" s="4">
        <v>0</v>
      </c>
      <c r="AF6" s="2" t="s">
        <v>2</v>
      </c>
      <c r="AG6" s="2" t="s">
        <v>2</v>
      </c>
      <c r="AH6" s="2" t="s">
        <v>2</v>
      </c>
      <c r="AI6" s="2" t="s">
        <v>2</v>
      </c>
      <c r="AJ6" s="2" t="s">
        <v>2</v>
      </c>
    </row>
  </sheetData>
  <autoFilter ref="A5:AJ5" xr:uid="{00000000-0009-0000-0000-00000D000000}"/>
  <mergeCells count="33">
    <mergeCell ref="B6"/>
    <mergeCell ref="C6"/>
    <mergeCell ref="D6"/>
    <mergeCell ref="E6"/>
    <mergeCell ref="F6"/>
    <mergeCell ref="AI3:AI5"/>
    <mergeCell ref="N4:P4"/>
    <mergeCell ref="G4:G5"/>
    <mergeCell ref="AC4:AC5"/>
    <mergeCell ref="AD4:AE4"/>
    <mergeCell ref="V4:V5"/>
    <mergeCell ref="W4:W5"/>
    <mergeCell ref="X4:Y4"/>
    <mergeCell ref="Z4:AA4"/>
    <mergeCell ref="AB4:AB5"/>
    <mergeCell ref="I4:I5"/>
    <mergeCell ref="J4:J5"/>
    <mergeCell ref="AJ3:AJ5"/>
    <mergeCell ref="K4:M4"/>
    <mergeCell ref="H4:H5"/>
    <mergeCell ref="Q4:U4"/>
    <mergeCell ref="A1:AJ1"/>
    <mergeCell ref="A3:A5"/>
    <mergeCell ref="B3:B5"/>
    <mergeCell ref="C3:C5"/>
    <mergeCell ref="D3:D5"/>
    <mergeCell ref="E3:E5"/>
    <mergeCell ref="F3:F5"/>
    <mergeCell ref="G3:J3"/>
    <mergeCell ref="K3:U3"/>
    <mergeCell ref="V3:AF3"/>
    <mergeCell ref="AG3:AG5"/>
    <mergeCell ref="AH3:AH5"/>
  </mergeCells>
  <phoneticPr fontId="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8"/>
  <sheetViews>
    <sheetView workbookViewId="0">
      <pane xSplit="5" ySplit="5" topLeftCell="F6" activePane="bottomRight" state="frozen"/>
      <selection pane="topRight"/>
      <selection pane="bottomLeft"/>
      <selection pane="bottomRight" activeCell="A6" sqref="A6"/>
    </sheetView>
  </sheetViews>
  <sheetFormatPr defaultRowHeight="16.5" x14ac:dyDescent="0.3"/>
  <cols>
    <col min="1" max="1" width="6" customWidth="1"/>
    <col min="2" max="3" width="12.625" customWidth="1"/>
    <col min="4" max="4" width="16.375" customWidth="1"/>
    <col min="5" max="5" width="14.875" customWidth="1"/>
    <col min="6" max="6" width="22.25" customWidth="1"/>
    <col min="7" max="7" width="14.875" customWidth="1"/>
    <col min="8" max="8" width="22.25" customWidth="1"/>
    <col min="9" max="9" width="16.375" customWidth="1"/>
    <col min="10" max="11" width="11.875" customWidth="1"/>
    <col min="12" max="15" width="10.375" customWidth="1"/>
    <col min="16" max="16" width="11.125" customWidth="1"/>
    <col min="17" max="17" width="17.875" customWidth="1"/>
    <col min="18" max="19" width="14.875" customWidth="1"/>
    <col min="20" max="20" width="14" customWidth="1"/>
  </cols>
  <sheetData>
    <row r="1" spans="1:20" ht="18.75" x14ac:dyDescent="0.3">
      <c r="A1" s="8" t="s">
        <v>4242</v>
      </c>
      <c r="B1" s="8"/>
      <c r="C1" s="8"/>
      <c r="D1" s="8"/>
      <c r="E1" s="8"/>
      <c r="F1" s="8"/>
      <c r="G1" s="8"/>
      <c r="H1" s="8"/>
      <c r="I1" s="8"/>
      <c r="J1" s="8"/>
      <c r="K1" s="8"/>
      <c r="L1" s="8"/>
      <c r="M1" s="8"/>
      <c r="N1" s="8"/>
      <c r="O1" s="8"/>
      <c r="P1" s="8"/>
      <c r="Q1" s="8"/>
      <c r="R1" s="8"/>
      <c r="S1" s="8"/>
      <c r="T1" s="8"/>
    </row>
    <row r="2" spans="1:20" x14ac:dyDescent="0.3">
      <c r="A2" s="9" t="s">
        <v>4243</v>
      </c>
      <c r="B2" s="9"/>
      <c r="C2" s="9"/>
      <c r="D2" s="9"/>
      <c r="E2" s="9"/>
      <c r="F2" s="9"/>
      <c r="G2" s="9"/>
      <c r="H2" s="9"/>
      <c r="I2" s="9"/>
      <c r="J2" s="9"/>
      <c r="K2" s="9"/>
      <c r="L2" s="9"/>
      <c r="M2" s="9"/>
      <c r="N2" s="9"/>
      <c r="O2" s="9"/>
      <c r="P2" s="9"/>
      <c r="Q2" s="9"/>
      <c r="R2" s="9"/>
      <c r="S2" s="9"/>
      <c r="T2" s="9"/>
    </row>
    <row r="3" spans="1:20" x14ac:dyDescent="0.3">
      <c r="A3" s="5"/>
      <c r="B3" s="5"/>
      <c r="C3" s="5"/>
      <c r="D3" s="5"/>
      <c r="E3" s="5"/>
      <c r="F3" s="5"/>
      <c r="G3" s="5"/>
      <c r="H3" s="5"/>
      <c r="I3" s="5"/>
      <c r="J3" s="5"/>
      <c r="K3" s="5"/>
      <c r="L3" s="5"/>
      <c r="M3" s="5"/>
      <c r="N3" s="5"/>
      <c r="O3" s="5"/>
      <c r="P3" s="5"/>
      <c r="Q3" s="5"/>
      <c r="R3" s="5"/>
      <c r="S3" s="5"/>
      <c r="T3" s="5" t="s">
        <v>2</v>
      </c>
    </row>
    <row r="4" spans="1:20" ht="24" customHeight="1" x14ac:dyDescent="0.3">
      <c r="A4" s="10" t="s">
        <v>3</v>
      </c>
      <c r="B4" s="10" t="s">
        <v>4</v>
      </c>
      <c r="C4" s="10" t="s">
        <v>5</v>
      </c>
      <c r="D4" s="10" t="s">
        <v>382</v>
      </c>
      <c r="E4" s="10" t="s">
        <v>383</v>
      </c>
      <c r="F4" s="10" t="s">
        <v>7</v>
      </c>
      <c r="G4" s="10" t="s">
        <v>4244</v>
      </c>
      <c r="H4" s="10" t="s">
        <v>498</v>
      </c>
      <c r="I4" s="10" t="s">
        <v>499</v>
      </c>
      <c r="J4" s="1" t="s">
        <v>500</v>
      </c>
      <c r="K4" s="1" t="s">
        <v>13</v>
      </c>
      <c r="L4" s="10" t="s">
        <v>14</v>
      </c>
      <c r="M4" s="10"/>
      <c r="N4" s="10"/>
      <c r="O4" s="10"/>
      <c r="P4" s="10"/>
      <c r="Q4" s="10" t="s">
        <v>384</v>
      </c>
      <c r="R4" s="10" t="s">
        <v>18</v>
      </c>
      <c r="S4" s="10" t="s">
        <v>19</v>
      </c>
      <c r="T4" s="10" t="s">
        <v>22</v>
      </c>
    </row>
    <row r="5" spans="1:20" ht="24" customHeight="1" x14ac:dyDescent="0.3">
      <c r="A5" s="10"/>
      <c r="B5" s="10"/>
      <c r="C5" s="10"/>
      <c r="D5" s="10"/>
      <c r="E5" s="10"/>
      <c r="F5" s="10"/>
      <c r="G5" s="10"/>
      <c r="H5" s="10"/>
      <c r="I5" s="10"/>
      <c r="J5" s="1" t="s">
        <v>30</v>
      </c>
      <c r="K5" s="1" t="s">
        <v>32</v>
      </c>
      <c r="L5" s="1" t="s">
        <v>33</v>
      </c>
      <c r="M5" s="1" t="s">
        <v>34</v>
      </c>
      <c r="N5" s="1" t="s">
        <v>35</v>
      </c>
      <c r="O5" s="1" t="s">
        <v>36</v>
      </c>
      <c r="P5" s="1" t="s">
        <v>37</v>
      </c>
      <c r="Q5" s="10"/>
      <c r="R5" s="10"/>
      <c r="S5" s="10"/>
      <c r="T5" s="10"/>
    </row>
    <row r="6" spans="1:20" ht="24" customHeight="1" x14ac:dyDescent="0.3">
      <c r="A6" s="2" t="s">
        <v>4258</v>
      </c>
      <c r="B6" s="11" t="s">
        <v>55</v>
      </c>
      <c r="C6" s="11" t="s">
        <v>40</v>
      </c>
      <c r="D6" s="2" t="s">
        <v>2</v>
      </c>
      <c r="E6" s="2" t="s">
        <v>2</v>
      </c>
      <c r="F6" s="2" t="s">
        <v>2</v>
      </c>
      <c r="G6" s="2" t="s">
        <v>2</v>
      </c>
      <c r="H6" s="2" t="s">
        <v>2</v>
      </c>
      <c r="I6" s="2" t="s">
        <v>2</v>
      </c>
      <c r="J6" s="4">
        <v>5557.7</v>
      </c>
      <c r="K6" s="4">
        <v>703939.2</v>
      </c>
      <c r="L6" s="4">
        <f t="shared" ref="L6:L15" si="0">SUM(M6:P6)</f>
        <v>21154.500000000004</v>
      </c>
      <c r="M6" s="4">
        <v>20335.2</v>
      </c>
      <c r="N6" s="4">
        <v>68.7</v>
      </c>
      <c r="O6" s="4">
        <v>726.7</v>
      </c>
      <c r="P6" s="4">
        <v>23.9</v>
      </c>
      <c r="Q6" s="2" t="s">
        <v>2</v>
      </c>
      <c r="R6" s="2" t="s">
        <v>2</v>
      </c>
      <c r="S6" s="2" t="s">
        <v>2</v>
      </c>
      <c r="T6" s="2" t="s">
        <v>2</v>
      </c>
    </row>
    <row r="7" spans="1:20" ht="24" customHeight="1" x14ac:dyDescent="0.3">
      <c r="A7" s="2" t="s">
        <v>46</v>
      </c>
      <c r="B7" s="11"/>
      <c r="C7" s="11" t="s">
        <v>182</v>
      </c>
      <c r="D7" s="2" t="s">
        <v>1146</v>
      </c>
      <c r="E7" s="2" t="s">
        <v>1147</v>
      </c>
      <c r="F7" s="2" t="s">
        <v>4259</v>
      </c>
      <c r="G7" s="2" t="s">
        <v>4260</v>
      </c>
      <c r="H7" s="2" t="s">
        <v>4261</v>
      </c>
      <c r="I7" s="2" t="s">
        <v>3541</v>
      </c>
      <c r="J7" s="4">
        <v>280</v>
      </c>
      <c r="K7" s="4">
        <v>48628.1</v>
      </c>
      <c r="L7" s="4">
        <f t="shared" si="0"/>
        <v>0</v>
      </c>
      <c r="M7" s="4">
        <v>0</v>
      </c>
      <c r="N7" s="4">
        <v>0</v>
      </c>
      <c r="O7" s="4">
        <v>0</v>
      </c>
      <c r="P7" s="4">
        <v>0</v>
      </c>
      <c r="Q7" s="2" t="s">
        <v>1150</v>
      </c>
      <c r="R7" s="2" t="s">
        <v>4262</v>
      </c>
      <c r="S7" s="2" t="s">
        <v>2</v>
      </c>
      <c r="T7" s="2" t="s">
        <v>2</v>
      </c>
    </row>
    <row r="8" spans="1:20" ht="24" customHeight="1" x14ac:dyDescent="0.3">
      <c r="A8" s="2" t="s">
        <v>49</v>
      </c>
      <c r="B8" s="11"/>
      <c r="C8" s="11"/>
      <c r="D8" s="2" t="s">
        <v>3014</v>
      </c>
      <c r="E8" s="2" t="s">
        <v>4263</v>
      </c>
      <c r="F8" s="2" t="s">
        <v>4264</v>
      </c>
      <c r="G8" s="2" t="s">
        <v>483</v>
      </c>
      <c r="H8" s="2" t="s">
        <v>4265</v>
      </c>
      <c r="I8" s="2" t="s">
        <v>501</v>
      </c>
      <c r="J8" s="4">
        <v>0</v>
      </c>
      <c r="K8" s="4">
        <v>0</v>
      </c>
      <c r="L8" s="4">
        <f t="shared" si="0"/>
        <v>0</v>
      </c>
      <c r="M8" s="4">
        <v>0</v>
      </c>
      <c r="N8" s="4">
        <v>0</v>
      </c>
      <c r="O8" s="4">
        <v>0</v>
      </c>
      <c r="P8" s="4">
        <v>0</v>
      </c>
      <c r="Q8" s="2" t="s">
        <v>4266</v>
      </c>
      <c r="R8" s="2" t="s">
        <v>1073</v>
      </c>
      <c r="S8" s="2" t="s">
        <v>2</v>
      </c>
      <c r="T8" s="2" t="s">
        <v>2</v>
      </c>
    </row>
    <row r="9" spans="1:20" ht="24" customHeight="1" x14ac:dyDescent="0.3">
      <c r="A9" s="2" t="s">
        <v>50</v>
      </c>
      <c r="B9" s="11"/>
      <c r="C9" s="11"/>
      <c r="D9" s="2" t="s">
        <v>4267</v>
      </c>
      <c r="E9" s="2" t="s">
        <v>4268</v>
      </c>
      <c r="F9" s="2" t="s">
        <v>4269</v>
      </c>
      <c r="G9" s="2" t="s">
        <v>4255</v>
      </c>
      <c r="H9" s="2" t="s">
        <v>4265</v>
      </c>
      <c r="I9" s="2" t="s">
        <v>501</v>
      </c>
      <c r="J9" s="4">
        <v>40</v>
      </c>
      <c r="K9" s="4">
        <v>0</v>
      </c>
      <c r="L9" s="4">
        <f t="shared" si="0"/>
        <v>0</v>
      </c>
      <c r="M9" s="4">
        <v>0</v>
      </c>
      <c r="N9" s="4">
        <v>0</v>
      </c>
      <c r="O9" s="4">
        <v>0</v>
      </c>
      <c r="P9" s="4">
        <v>0</v>
      </c>
      <c r="Q9" s="2" t="s">
        <v>4270</v>
      </c>
      <c r="R9" s="2" t="s">
        <v>3462</v>
      </c>
      <c r="S9" s="2" t="s">
        <v>2</v>
      </c>
      <c r="T9" s="2" t="s">
        <v>2</v>
      </c>
    </row>
    <row r="10" spans="1:20" ht="24" customHeight="1" x14ac:dyDescent="0.3">
      <c r="A10" s="2" t="s">
        <v>51</v>
      </c>
      <c r="B10" s="11"/>
      <c r="C10" s="11" t="s">
        <v>193</v>
      </c>
      <c r="D10" s="2" t="s">
        <v>4271</v>
      </c>
      <c r="E10" s="2" t="s">
        <v>4272</v>
      </c>
      <c r="F10" s="2" t="s">
        <v>4273</v>
      </c>
      <c r="G10" s="2" t="s">
        <v>4274</v>
      </c>
      <c r="H10" s="2" t="s">
        <v>4275</v>
      </c>
      <c r="I10" s="2" t="s">
        <v>551</v>
      </c>
      <c r="J10" s="4">
        <v>30</v>
      </c>
      <c r="K10" s="4">
        <v>2677.8</v>
      </c>
      <c r="L10" s="4">
        <f t="shared" si="0"/>
        <v>1.6</v>
      </c>
      <c r="M10" s="4">
        <v>0</v>
      </c>
      <c r="N10" s="4">
        <v>0</v>
      </c>
      <c r="O10" s="4">
        <v>0</v>
      </c>
      <c r="P10" s="4">
        <v>1.6</v>
      </c>
      <c r="Q10" s="2" t="s">
        <v>4276</v>
      </c>
      <c r="R10" s="2" t="s">
        <v>3596</v>
      </c>
      <c r="S10" s="2" t="s">
        <v>2</v>
      </c>
      <c r="T10" s="2" t="s">
        <v>510</v>
      </c>
    </row>
    <row r="11" spans="1:20" ht="24" customHeight="1" x14ac:dyDescent="0.3">
      <c r="A11" s="2" t="s">
        <v>52</v>
      </c>
      <c r="B11" s="11"/>
      <c r="C11" s="11"/>
      <c r="D11" s="2" t="s">
        <v>4277</v>
      </c>
      <c r="E11" s="2" t="s">
        <v>1103</v>
      </c>
      <c r="F11" s="2" t="s">
        <v>4278</v>
      </c>
      <c r="G11" s="2" t="s">
        <v>495</v>
      </c>
      <c r="H11" s="2" t="s">
        <v>4275</v>
      </c>
      <c r="I11" s="2" t="s">
        <v>3541</v>
      </c>
      <c r="J11" s="4">
        <v>43</v>
      </c>
      <c r="K11" s="4">
        <v>0</v>
      </c>
      <c r="L11" s="4">
        <f t="shared" si="0"/>
        <v>0</v>
      </c>
      <c r="M11" s="4">
        <v>0</v>
      </c>
      <c r="N11" s="4">
        <v>0</v>
      </c>
      <c r="O11" s="4">
        <v>0</v>
      </c>
      <c r="P11" s="4">
        <v>0</v>
      </c>
      <c r="Q11" s="2" t="s">
        <v>4279</v>
      </c>
      <c r="R11" s="2" t="s">
        <v>4280</v>
      </c>
      <c r="S11" s="2" t="s">
        <v>3512</v>
      </c>
      <c r="T11" s="2" t="s">
        <v>1076</v>
      </c>
    </row>
    <row r="12" spans="1:20" ht="24" customHeight="1" x14ac:dyDescent="0.3">
      <c r="A12" s="2" t="s">
        <v>77</v>
      </c>
      <c r="B12" s="11"/>
      <c r="C12" s="11"/>
      <c r="D12" s="2" t="s">
        <v>4281</v>
      </c>
      <c r="E12" s="2" t="s">
        <v>4282</v>
      </c>
      <c r="F12" s="2" t="s">
        <v>4283</v>
      </c>
      <c r="G12" s="2" t="s">
        <v>495</v>
      </c>
      <c r="H12" s="2" t="s">
        <v>4275</v>
      </c>
      <c r="I12" s="2" t="s">
        <v>3541</v>
      </c>
      <c r="J12" s="4">
        <v>13.6</v>
      </c>
      <c r="K12" s="4">
        <v>13.1</v>
      </c>
      <c r="L12" s="4">
        <f t="shared" si="0"/>
        <v>0</v>
      </c>
      <c r="M12" s="4">
        <v>0</v>
      </c>
      <c r="N12" s="4">
        <v>0</v>
      </c>
      <c r="O12" s="4">
        <v>0</v>
      </c>
      <c r="P12" s="4">
        <v>0</v>
      </c>
      <c r="Q12" s="2" t="s">
        <v>4284</v>
      </c>
      <c r="R12" s="2" t="s">
        <v>3641</v>
      </c>
      <c r="S12" s="2" t="s">
        <v>2</v>
      </c>
      <c r="T12" s="2" t="s">
        <v>2</v>
      </c>
    </row>
    <row r="13" spans="1:20" ht="24" customHeight="1" x14ac:dyDescent="0.3">
      <c r="A13" s="2" t="s">
        <v>82</v>
      </c>
      <c r="B13" s="11"/>
      <c r="C13" s="11" t="s">
        <v>603</v>
      </c>
      <c r="D13" s="2" t="s">
        <v>4285</v>
      </c>
      <c r="E13" s="2" t="s">
        <v>4286</v>
      </c>
      <c r="F13" s="2" t="s">
        <v>4287</v>
      </c>
      <c r="G13" s="2" t="s">
        <v>574</v>
      </c>
      <c r="H13" s="2" t="s">
        <v>4275</v>
      </c>
      <c r="I13" s="2" t="s">
        <v>3541</v>
      </c>
      <c r="J13" s="4">
        <v>600</v>
      </c>
      <c r="K13" s="4">
        <v>2426</v>
      </c>
      <c r="L13" s="4">
        <f t="shared" si="0"/>
        <v>10</v>
      </c>
      <c r="M13" s="4">
        <v>9</v>
      </c>
      <c r="N13" s="4">
        <v>0</v>
      </c>
      <c r="O13" s="4">
        <v>0</v>
      </c>
      <c r="P13" s="4">
        <v>1</v>
      </c>
      <c r="Q13" s="2" t="s">
        <v>4288</v>
      </c>
      <c r="R13" s="2" t="s">
        <v>3587</v>
      </c>
      <c r="S13" s="2" t="s">
        <v>2</v>
      </c>
      <c r="T13" s="2" t="s">
        <v>2</v>
      </c>
    </row>
    <row r="14" spans="1:20" ht="24" customHeight="1" x14ac:dyDescent="0.3">
      <c r="A14" s="2" t="s">
        <v>87</v>
      </c>
      <c r="B14" s="11"/>
      <c r="C14" s="11" t="s">
        <v>56</v>
      </c>
      <c r="D14" s="2" t="s">
        <v>4289</v>
      </c>
      <c r="E14" s="2" t="s">
        <v>3507</v>
      </c>
      <c r="F14" s="2" t="s">
        <v>4290</v>
      </c>
      <c r="G14" s="2" t="s">
        <v>574</v>
      </c>
      <c r="H14" s="2" t="s">
        <v>195</v>
      </c>
      <c r="I14" s="2" t="s">
        <v>3541</v>
      </c>
      <c r="J14" s="4">
        <v>1</v>
      </c>
      <c r="K14" s="4">
        <v>267.7</v>
      </c>
      <c r="L14" s="4">
        <f t="shared" si="0"/>
        <v>1.1000000000000001</v>
      </c>
      <c r="M14" s="4">
        <v>0</v>
      </c>
      <c r="N14" s="4">
        <v>1.1000000000000001</v>
      </c>
      <c r="O14" s="4">
        <v>0</v>
      </c>
      <c r="P14" s="4">
        <v>0</v>
      </c>
      <c r="Q14" s="2" t="s">
        <v>2</v>
      </c>
      <c r="R14" s="2" t="s">
        <v>1807</v>
      </c>
      <c r="S14" s="2" t="s">
        <v>2</v>
      </c>
      <c r="T14" s="2" t="s">
        <v>2</v>
      </c>
    </row>
    <row r="15" spans="1:20" ht="24" customHeight="1" x14ac:dyDescent="0.3">
      <c r="A15" s="2" t="s">
        <v>92</v>
      </c>
      <c r="B15" s="11"/>
      <c r="C15" s="11" t="s">
        <v>211</v>
      </c>
      <c r="D15" s="2" t="s">
        <v>4291</v>
      </c>
      <c r="E15" s="2" t="s">
        <v>1765</v>
      </c>
      <c r="F15" s="2" t="s">
        <v>4292</v>
      </c>
      <c r="G15" s="2" t="s">
        <v>574</v>
      </c>
      <c r="H15" s="2" t="s">
        <v>574</v>
      </c>
      <c r="I15" s="2" t="s">
        <v>551</v>
      </c>
      <c r="J15" s="4">
        <v>5</v>
      </c>
      <c r="K15" s="4">
        <v>1687.6</v>
      </c>
      <c r="L15" s="4">
        <f t="shared" si="0"/>
        <v>0</v>
      </c>
      <c r="M15" s="4">
        <v>0</v>
      </c>
      <c r="N15" s="4">
        <v>0</v>
      </c>
      <c r="O15" s="4">
        <v>0</v>
      </c>
      <c r="P15" s="4">
        <v>0</v>
      </c>
      <c r="Q15" s="2" t="s">
        <v>2</v>
      </c>
      <c r="R15" s="2" t="s">
        <v>3539</v>
      </c>
      <c r="S15" s="2" t="s">
        <v>2</v>
      </c>
      <c r="T15" s="2" t="s">
        <v>2</v>
      </c>
    </row>
    <row r="16" spans="1:20" ht="24" customHeight="1" x14ac:dyDescent="0.3">
      <c r="A16" s="2" t="s">
        <v>96</v>
      </c>
      <c r="B16" s="11"/>
      <c r="C16" s="11"/>
      <c r="D16" s="2" t="s">
        <v>2191</v>
      </c>
      <c r="E16" s="2" t="s">
        <v>2192</v>
      </c>
      <c r="F16" s="2" t="s">
        <v>4293</v>
      </c>
      <c r="G16" s="2" t="s">
        <v>4294</v>
      </c>
      <c r="H16" s="2" t="s">
        <v>4295</v>
      </c>
      <c r="I16" s="2" t="s">
        <v>551</v>
      </c>
      <c r="J16" s="4">
        <v>76</v>
      </c>
      <c r="K16" s="4">
        <v>0</v>
      </c>
      <c r="L16" s="4">
        <f t="shared" ref="L16:L79" si="1">SUM(M16:P16)</f>
        <v>0</v>
      </c>
      <c r="M16" s="4">
        <v>0</v>
      </c>
      <c r="N16" s="4">
        <v>0</v>
      </c>
      <c r="O16" s="4">
        <v>0</v>
      </c>
      <c r="P16" s="4">
        <v>0</v>
      </c>
      <c r="Q16" s="2" t="s">
        <v>2194</v>
      </c>
      <c r="R16" s="2" t="s">
        <v>4296</v>
      </c>
      <c r="S16" s="2" t="s">
        <v>2</v>
      </c>
      <c r="T16" s="2" t="s">
        <v>2</v>
      </c>
    </row>
    <row r="17" spans="1:20" ht="24" customHeight="1" x14ac:dyDescent="0.3">
      <c r="A17" s="2" t="s">
        <v>102</v>
      </c>
      <c r="B17" s="11"/>
      <c r="C17" s="11"/>
      <c r="D17" s="2" t="s">
        <v>4297</v>
      </c>
      <c r="E17" s="2" t="s">
        <v>1860</v>
      </c>
      <c r="F17" s="2" t="s">
        <v>4298</v>
      </c>
      <c r="G17" s="2" t="s">
        <v>4299</v>
      </c>
      <c r="H17" s="2" t="s">
        <v>4300</v>
      </c>
      <c r="I17" s="2" t="s">
        <v>551</v>
      </c>
      <c r="J17" s="4">
        <v>20</v>
      </c>
      <c r="K17" s="4">
        <v>0</v>
      </c>
      <c r="L17" s="4">
        <f t="shared" si="1"/>
        <v>0</v>
      </c>
      <c r="M17" s="4">
        <v>0</v>
      </c>
      <c r="N17" s="4">
        <v>0</v>
      </c>
      <c r="O17" s="4">
        <v>0</v>
      </c>
      <c r="P17" s="4">
        <v>0</v>
      </c>
      <c r="Q17" s="2" t="s">
        <v>4301</v>
      </c>
      <c r="R17" s="2" t="s">
        <v>3443</v>
      </c>
      <c r="S17" s="2" t="s">
        <v>2</v>
      </c>
      <c r="T17" s="2" t="s">
        <v>2</v>
      </c>
    </row>
    <row r="18" spans="1:20" ht="24" customHeight="1" x14ac:dyDescent="0.3">
      <c r="A18" s="2" t="s">
        <v>104</v>
      </c>
      <c r="B18" s="11"/>
      <c r="C18" s="11"/>
      <c r="D18" s="2" t="s">
        <v>4302</v>
      </c>
      <c r="E18" s="2" t="s">
        <v>4303</v>
      </c>
      <c r="F18" s="2" t="s">
        <v>4304</v>
      </c>
      <c r="G18" s="2" t="s">
        <v>4249</v>
      </c>
      <c r="H18" s="2" t="s">
        <v>4305</v>
      </c>
      <c r="I18" s="2" t="s">
        <v>551</v>
      </c>
      <c r="J18" s="4">
        <v>0.8</v>
      </c>
      <c r="K18" s="4">
        <v>0</v>
      </c>
      <c r="L18" s="4">
        <f t="shared" si="1"/>
        <v>0</v>
      </c>
      <c r="M18" s="4">
        <v>0</v>
      </c>
      <c r="N18" s="4">
        <v>0</v>
      </c>
      <c r="O18" s="4">
        <v>0</v>
      </c>
      <c r="P18" s="4">
        <v>0</v>
      </c>
      <c r="Q18" s="2" t="s">
        <v>4306</v>
      </c>
      <c r="R18" s="2" t="s">
        <v>3634</v>
      </c>
      <c r="S18" s="2" t="s">
        <v>2</v>
      </c>
      <c r="T18" s="2" t="s">
        <v>1858</v>
      </c>
    </row>
    <row r="19" spans="1:20" ht="24" customHeight="1" x14ac:dyDescent="0.3">
      <c r="A19" s="2" t="s">
        <v>105</v>
      </c>
      <c r="B19" s="11"/>
      <c r="C19" s="11"/>
      <c r="D19" s="2" t="s">
        <v>1903</v>
      </c>
      <c r="E19" s="2" t="s">
        <v>1732</v>
      </c>
      <c r="F19" s="2" t="s">
        <v>1733</v>
      </c>
      <c r="G19" s="2" t="s">
        <v>4246</v>
      </c>
      <c r="H19" s="2" t="s">
        <v>4295</v>
      </c>
      <c r="I19" s="2" t="s">
        <v>551</v>
      </c>
      <c r="J19" s="4">
        <v>166</v>
      </c>
      <c r="K19" s="4">
        <v>12808</v>
      </c>
      <c r="L19" s="4">
        <f t="shared" si="1"/>
        <v>0</v>
      </c>
      <c r="M19" s="4">
        <v>0</v>
      </c>
      <c r="N19" s="4">
        <v>0</v>
      </c>
      <c r="O19" s="4">
        <v>0</v>
      </c>
      <c r="P19" s="4">
        <v>0</v>
      </c>
      <c r="Q19" s="2" t="s">
        <v>4307</v>
      </c>
      <c r="R19" s="2" t="s">
        <v>4308</v>
      </c>
      <c r="S19" s="2" t="s">
        <v>2</v>
      </c>
      <c r="T19" s="2" t="s">
        <v>2</v>
      </c>
    </row>
    <row r="20" spans="1:20" ht="24" customHeight="1" x14ac:dyDescent="0.3">
      <c r="A20" s="2" t="s">
        <v>106</v>
      </c>
      <c r="B20" s="11"/>
      <c r="C20" s="11"/>
      <c r="D20" s="2" t="s">
        <v>4309</v>
      </c>
      <c r="E20" s="2" t="s">
        <v>4310</v>
      </c>
      <c r="F20" s="2" t="s">
        <v>4311</v>
      </c>
      <c r="G20" s="2" t="s">
        <v>483</v>
      </c>
      <c r="H20" s="2" t="s">
        <v>4295</v>
      </c>
      <c r="I20" s="2" t="s">
        <v>551</v>
      </c>
      <c r="J20" s="4">
        <v>480</v>
      </c>
      <c r="K20" s="4">
        <v>28344.7</v>
      </c>
      <c r="L20" s="4">
        <f t="shared" si="1"/>
        <v>0</v>
      </c>
      <c r="M20" s="4">
        <v>0</v>
      </c>
      <c r="N20" s="4">
        <v>0</v>
      </c>
      <c r="O20" s="4">
        <v>0</v>
      </c>
      <c r="P20" s="4">
        <v>0</v>
      </c>
      <c r="Q20" s="2" t="s">
        <v>4312</v>
      </c>
      <c r="R20" s="2" t="s">
        <v>4296</v>
      </c>
      <c r="S20" s="2" t="s">
        <v>2</v>
      </c>
      <c r="T20" s="2" t="s">
        <v>2</v>
      </c>
    </row>
    <row r="21" spans="1:20" ht="24" customHeight="1" x14ac:dyDescent="0.3">
      <c r="A21" s="2" t="s">
        <v>107</v>
      </c>
      <c r="B21" s="11"/>
      <c r="C21" s="11"/>
      <c r="D21" s="2" t="s">
        <v>4313</v>
      </c>
      <c r="E21" s="2" t="s">
        <v>1714</v>
      </c>
      <c r="F21" s="2" t="s">
        <v>4314</v>
      </c>
      <c r="G21" s="2" t="s">
        <v>4294</v>
      </c>
      <c r="H21" s="2" t="s">
        <v>517</v>
      </c>
      <c r="I21" s="2" t="s">
        <v>551</v>
      </c>
      <c r="J21" s="4">
        <v>10</v>
      </c>
      <c r="K21" s="4">
        <v>2292.3000000000002</v>
      </c>
      <c r="L21" s="4">
        <f t="shared" si="1"/>
        <v>0</v>
      </c>
      <c r="M21" s="4">
        <v>0</v>
      </c>
      <c r="N21" s="4">
        <v>0</v>
      </c>
      <c r="O21" s="4">
        <v>0</v>
      </c>
      <c r="P21" s="4">
        <v>0</v>
      </c>
      <c r="Q21" s="2" t="s">
        <v>1716</v>
      </c>
      <c r="R21" s="2" t="s">
        <v>3598</v>
      </c>
      <c r="S21" s="2" t="s">
        <v>2</v>
      </c>
      <c r="T21" s="2" t="s">
        <v>2</v>
      </c>
    </row>
    <row r="22" spans="1:20" ht="24" customHeight="1" x14ac:dyDescent="0.3">
      <c r="A22" s="2" t="s">
        <v>108</v>
      </c>
      <c r="B22" s="11"/>
      <c r="C22" s="11"/>
      <c r="D22" s="2" t="s">
        <v>1767</v>
      </c>
      <c r="E22" s="2" t="s">
        <v>1768</v>
      </c>
      <c r="F22" s="2" t="s">
        <v>4315</v>
      </c>
      <c r="G22" s="2" t="s">
        <v>4246</v>
      </c>
      <c r="H22" s="2" t="s">
        <v>4316</v>
      </c>
      <c r="I22" s="2" t="s">
        <v>551</v>
      </c>
      <c r="J22" s="4">
        <v>153</v>
      </c>
      <c r="K22" s="4">
        <v>0</v>
      </c>
      <c r="L22" s="4">
        <f t="shared" si="1"/>
        <v>0</v>
      </c>
      <c r="M22" s="4">
        <v>0</v>
      </c>
      <c r="N22" s="4">
        <v>0</v>
      </c>
      <c r="O22" s="4">
        <v>0</v>
      </c>
      <c r="P22" s="4">
        <v>0</v>
      </c>
      <c r="Q22" s="2" t="s">
        <v>1770</v>
      </c>
      <c r="R22" s="2" t="s">
        <v>3537</v>
      </c>
      <c r="S22" s="2" t="s">
        <v>2</v>
      </c>
      <c r="T22" s="2" t="s">
        <v>2</v>
      </c>
    </row>
    <row r="23" spans="1:20" ht="24" customHeight="1" x14ac:dyDescent="0.3">
      <c r="A23" s="2" t="s">
        <v>109</v>
      </c>
      <c r="B23" s="11"/>
      <c r="C23" s="11"/>
      <c r="D23" s="2" t="s">
        <v>1776</v>
      </c>
      <c r="E23" s="2" t="s">
        <v>1777</v>
      </c>
      <c r="F23" s="2" t="s">
        <v>1778</v>
      </c>
      <c r="G23" s="2" t="s">
        <v>4249</v>
      </c>
      <c r="H23" s="2" t="s">
        <v>4305</v>
      </c>
      <c r="I23" s="2" t="s">
        <v>551</v>
      </c>
      <c r="J23" s="4">
        <v>8.5</v>
      </c>
      <c r="K23" s="4">
        <v>112.9</v>
      </c>
      <c r="L23" s="4">
        <f t="shared" si="1"/>
        <v>0</v>
      </c>
      <c r="M23" s="4">
        <v>0</v>
      </c>
      <c r="N23" s="4">
        <v>0</v>
      </c>
      <c r="O23" s="4">
        <v>0</v>
      </c>
      <c r="P23" s="4">
        <v>0</v>
      </c>
      <c r="Q23" s="2" t="s">
        <v>1779</v>
      </c>
      <c r="R23" s="2" t="s">
        <v>4095</v>
      </c>
      <c r="S23" s="2" t="s">
        <v>2</v>
      </c>
      <c r="T23" s="2" t="s">
        <v>2</v>
      </c>
    </row>
    <row r="24" spans="1:20" ht="24" customHeight="1" x14ac:dyDescent="0.3">
      <c r="A24" s="2" t="s">
        <v>110</v>
      </c>
      <c r="B24" s="11"/>
      <c r="C24" s="11"/>
      <c r="D24" s="2" t="s">
        <v>4317</v>
      </c>
      <c r="E24" s="2" t="s">
        <v>1824</v>
      </c>
      <c r="F24" s="2" t="s">
        <v>4318</v>
      </c>
      <c r="G24" s="2" t="s">
        <v>4254</v>
      </c>
      <c r="H24" s="2" t="s">
        <v>4248</v>
      </c>
      <c r="I24" s="2" t="s">
        <v>551</v>
      </c>
      <c r="J24" s="4">
        <v>96</v>
      </c>
      <c r="K24" s="4">
        <v>4069.5</v>
      </c>
      <c r="L24" s="4">
        <f t="shared" si="1"/>
        <v>1627.5</v>
      </c>
      <c r="M24" s="4">
        <v>1627.5</v>
      </c>
      <c r="N24" s="4">
        <v>0</v>
      </c>
      <c r="O24" s="4">
        <v>0</v>
      </c>
      <c r="P24" s="4">
        <v>0</v>
      </c>
      <c r="Q24" s="2" t="s">
        <v>2</v>
      </c>
      <c r="R24" s="2" t="s">
        <v>1016</v>
      </c>
      <c r="S24" s="2" t="s">
        <v>2</v>
      </c>
      <c r="T24" s="2" t="s">
        <v>510</v>
      </c>
    </row>
    <row r="25" spans="1:20" ht="24" customHeight="1" x14ac:dyDescent="0.3">
      <c r="A25" s="2" t="s">
        <v>111</v>
      </c>
      <c r="B25" s="11"/>
      <c r="C25" s="11"/>
      <c r="D25" s="2" t="s">
        <v>4319</v>
      </c>
      <c r="E25" s="2" t="s">
        <v>4320</v>
      </c>
      <c r="F25" s="2" t="s">
        <v>4321</v>
      </c>
      <c r="G25" s="2" t="s">
        <v>574</v>
      </c>
      <c r="H25" s="2" t="s">
        <v>4322</v>
      </c>
      <c r="I25" s="2" t="s">
        <v>551</v>
      </c>
      <c r="J25" s="4">
        <v>10</v>
      </c>
      <c r="K25" s="4">
        <v>0</v>
      </c>
      <c r="L25" s="4">
        <f t="shared" si="1"/>
        <v>0</v>
      </c>
      <c r="M25" s="4">
        <v>0</v>
      </c>
      <c r="N25" s="4">
        <v>0</v>
      </c>
      <c r="O25" s="4">
        <v>0</v>
      </c>
      <c r="P25" s="4">
        <v>0</v>
      </c>
      <c r="Q25" s="2" t="s">
        <v>2</v>
      </c>
      <c r="R25" s="2" t="s">
        <v>990</v>
      </c>
      <c r="S25" s="2" t="s">
        <v>2</v>
      </c>
      <c r="T25" s="2" t="s">
        <v>1858</v>
      </c>
    </row>
    <row r="26" spans="1:20" ht="24" customHeight="1" x14ac:dyDescent="0.3">
      <c r="A26" s="2" t="s">
        <v>112</v>
      </c>
      <c r="B26" s="11"/>
      <c r="C26" s="11"/>
      <c r="D26" s="2" t="s">
        <v>4323</v>
      </c>
      <c r="E26" s="2" t="s">
        <v>4324</v>
      </c>
      <c r="F26" s="2" t="s">
        <v>4325</v>
      </c>
      <c r="G26" s="2" t="s">
        <v>574</v>
      </c>
      <c r="H26" s="2" t="s">
        <v>195</v>
      </c>
      <c r="I26" s="2" t="s">
        <v>551</v>
      </c>
      <c r="J26" s="4">
        <v>5</v>
      </c>
      <c r="K26" s="4">
        <v>0</v>
      </c>
      <c r="L26" s="4">
        <f t="shared" si="1"/>
        <v>0</v>
      </c>
      <c r="M26" s="4">
        <v>0</v>
      </c>
      <c r="N26" s="4">
        <v>0</v>
      </c>
      <c r="O26" s="4">
        <v>0</v>
      </c>
      <c r="P26" s="4">
        <v>0</v>
      </c>
      <c r="Q26" s="2" t="s">
        <v>4326</v>
      </c>
      <c r="R26" s="2" t="s">
        <v>3413</v>
      </c>
      <c r="S26" s="2" t="s">
        <v>2</v>
      </c>
      <c r="T26" s="2" t="s">
        <v>2</v>
      </c>
    </row>
    <row r="27" spans="1:20" ht="24" customHeight="1" x14ac:dyDescent="0.3">
      <c r="A27" s="2" t="s">
        <v>113</v>
      </c>
      <c r="B27" s="11"/>
      <c r="C27" s="11"/>
      <c r="D27" s="2" t="s">
        <v>4327</v>
      </c>
      <c r="E27" s="2" t="s">
        <v>3684</v>
      </c>
      <c r="F27" s="2" t="s">
        <v>4328</v>
      </c>
      <c r="G27" s="2" t="s">
        <v>4329</v>
      </c>
      <c r="H27" s="2" t="s">
        <v>4330</v>
      </c>
      <c r="I27" s="2" t="s">
        <v>551</v>
      </c>
      <c r="J27" s="4">
        <v>0.5</v>
      </c>
      <c r="K27" s="4">
        <v>0</v>
      </c>
      <c r="L27" s="4">
        <f t="shared" si="1"/>
        <v>0</v>
      </c>
      <c r="M27" s="4">
        <v>0</v>
      </c>
      <c r="N27" s="4">
        <v>0</v>
      </c>
      <c r="O27" s="4">
        <v>0</v>
      </c>
      <c r="P27" s="4">
        <v>0</v>
      </c>
      <c r="Q27" s="2" t="s">
        <v>4331</v>
      </c>
      <c r="R27" s="2" t="s">
        <v>1080</v>
      </c>
      <c r="S27" s="2" t="s">
        <v>3375</v>
      </c>
      <c r="T27" s="2" t="s">
        <v>2</v>
      </c>
    </row>
    <row r="28" spans="1:20" ht="24" customHeight="1" x14ac:dyDescent="0.3">
      <c r="A28" s="2" t="s">
        <v>114</v>
      </c>
      <c r="B28" s="11"/>
      <c r="C28" s="11"/>
      <c r="D28" s="2" t="s">
        <v>4332</v>
      </c>
      <c r="E28" s="2" t="s">
        <v>2128</v>
      </c>
      <c r="F28" s="2" t="s">
        <v>4333</v>
      </c>
      <c r="G28" s="2" t="s">
        <v>483</v>
      </c>
      <c r="H28" s="2" t="s">
        <v>4295</v>
      </c>
      <c r="I28" s="2" t="s">
        <v>551</v>
      </c>
      <c r="J28" s="4">
        <v>1</v>
      </c>
      <c r="K28" s="4">
        <v>0</v>
      </c>
      <c r="L28" s="4">
        <f t="shared" si="1"/>
        <v>0</v>
      </c>
      <c r="M28" s="4">
        <v>0</v>
      </c>
      <c r="N28" s="4">
        <v>0</v>
      </c>
      <c r="O28" s="4">
        <v>0</v>
      </c>
      <c r="P28" s="4">
        <v>0</v>
      </c>
      <c r="Q28" s="2" t="s">
        <v>4334</v>
      </c>
      <c r="R28" s="2" t="s">
        <v>3633</v>
      </c>
      <c r="S28" s="2" t="s">
        <v>2</v>
      </c>
      <c r="T28" s="2" t="s">
        <v>2</v>
      </c>
    </row>
    <row r="29" spans="1:20" ht="24" customHeight="1" x14ac:dyDescent="0.3">
      <c r="A29" s="2" t="s">
        <v>115</v>
      </c>
      <c r="B29" s="11"/>
      <c r="C29" s="11"/>
      <c r="D29" s="2" t="s">
        <v>1823</v>
      </c>
      <c r="E29" s="2" t="s">
        <v>3642</v>
      </c>
      <c r="F29" s="2" t="s">
        <v>4335</v>
      </c>
      <c r="G29" s="2" t="s">
        <v>4294</v>
      </c>
      <c r="H29" s="2" t="s">
        <v>4336</v>
      </c>
      <c r="I29" s="2" t="s">
        <v>551</v>
      </c>
      <c r="J29" s="4">
        <v>96</v>
      </c>
      <c r="K29" s="4">
        <v>18619.5</v>
      </c>
      <c r="L29" s="4">
        <f t="shared" si="1"/>
        <v>17772.399999999998</v>
      </c>
      <c r="M29" s="4">
        <v>16978.099999999999</v>
      </c>
      <c r="N29" s="4">
        <v>67.599999999999994</v>
      </c>
      <c r="O29" s="4">
        <v>726.7</v>
      </c>
      <c r="P29" s="4">
        <v>0</v>
      </c>
      <c r="Q29" s="2" t="s">
        <v>1826</v>
      </c>
      <c r="R29" s="2" t="s">
        <v>3486</v>
      </c>
      <c r="S29" s="2" t="s">
        <v>2</v>
      </c>
      <c r="T29" s="2" t="s">
        <v>2</v>
      </c>
    </row>
    <row r="30" spans="1:20" ht="24" customHeight="1" x14ac:dyDescent="0.3">
      <c r="A30" s="2" t="s">
        <v>116</v>
      </c>
      <c r="B30" s="11"/>
      <c r="C30" s="11"/>
      <c r="D30" s="2" t="s">
        <v>2069</v>
      </c>
      <c r="E30" s="2" t="s">
        <v>2070</v>
      </c>
      <c r="F30" s="2" t="s">
        <v>2071</v>
      </c>
      <c r="G30" s="2" t="s">
        <v>574</v>
      </c>
      <c r="H30" s="2" t="s">
        <v>195</v>
      </c>
      <c r="I30" s="2" t="s">
        <v>551</v>
      </c>
      <c r="J30" s="4">
        <v>25</v>
      </c>
      <c r="K30" s="4">
        <v>3126</v>
      </c>
      <c r="L30" s="4">
        <f t="shared" si="1"/>
        <v>493</v>
      </c>
      <c r="M30" s="4">
        <v>493</v>
      </c>
      <c r="N30" s="4">
        <v>0</v>
      </c>
      <c r="O30" s="4">
        <v>0</v>
      </c>
      <c r="P30" s="4">
        <v>0</v>
      </c>
      <c r="Q30" s="2" t="s">
        <v>2072</v>
      </c>
      <c r="R30" s="2" t="s">
        <v>2039</v>
      </c>
      <c r="S30" s="2" t="s">
        <v>2</v>
      </c>
      <c r="T30" s="2" t="s">
        <v>2</v>
      </c>
    </row>
    <row r="31" spans="1:20" ht="24" customHeight="1" x14ac:dyDescent="0.3">
      <c r="A31" s="2" t="s">
        <v>117</v>
      </c>
      <c r="B31" s="11"/>
      <c r="C31" s="11"/>
      <c r="D31" s="2" t="s">
        <v>4337</v>
      </c>
      <c r="E31" s="2" t="s">
        <v>4080</v>
      </c>
      <c r="F31" s="2" t="s">
        <v>4338</v>
      </c>
      <c r="G31" s="2" t="s">
        <v>483</v>
      </c>
      <c r="H31" s="2" t="s">
        <v>4295</v>
      </c>
      <c r="I31" s="2" t="s">
        <v>551</v>
      </c>
      <c r="J31" s="4">
        <v>80</v>
      </c>
      <c r="K31" s="4">
        <v>17450</v>
      </c>
      <c r="L31" s="4">
        <f t="shared" si="1"/>
        <v>0</v>
      </c>
      <c r="M31" s="4">
        <v>0</v>
      </c>
      <c r="N31" s="4">
        <v>0</v>
      </c>
      <c r="O31" s="4">
        <v>0</v>
      </c>
      <c r="P31" s="4">
        <v>0</v>
      </c>
      <c r="Q31" s="2" t="s">
        <v>4339</v>
      </c>
      <c r="R31" s="2" t="s">
        <v>4086</v>
      </c>
      <c r="S31" s="2" t="s">
        <v>2</v>
      </c>
      <c r="T31" s="2" t="s">
        <v>2</v>
      </c>
    </row>
    <row r="32" spans="1:20" ht="24" customHeight="1" x14ac:dyDescent="0.3">
      <c r="A32" s="2" t="s">
        <v>118</v>
      </c>
      <c r="B32" s="11"/>
      <c r="C32" s="11"/>
      <c r="D32" s="2" t="s">
        <v>4340</v>
      </c>
      <c r="E32" s="2" t="s">
        <v>4341</v>
      </c>
      <c r="F32" s="2" t="s">
        <v>4342</v>
      </c>
      <c r="G32" s="2" t="s">
        <v>4249</v>
      </c>
      <c r="H32" s="2" t="s">
        <v>4343</v>
      </c>
      <c r="I32" s="2" t="s">
        <v>3541</v>
      </c>
      <c r="J32" s="4">
        <v>18.399999999999999</v>
      </c>
      <c r="K32" s="4">
        <v>0</v>
      </c>
      <c r="L32" s="4">
        <f t="shared" si="1"/>
        <v>0</v>
      </c>
      <c r="M32" s="4">
        <v>0</v>
      </c>
      <c r="N32" s="4">
        <v>0</v>
      </c>
      <c r="O32" s="4">
        <v>0</v>
      </c>
      <c r="P32" s="4">
        <v>0</v>
      </c>
      <c r="Q32" s="2" t="s">
        <v>2</v>
      </c>
      <c r="R32" s="2" t="s">
        <v>3577</v>
      </c>
      <c r="S32" s="2" t="s">
        <v>2</v>
      </c>
      <c r="T32" s="2" t="s">
        <v>510</v>
      </c>
    </row>
    <row r="33" spans="1:20" ht="24" customHeight="1" x14ac:dyDescent="0.3">
      <c r="A33" s="2" t="s">
        <v>119</v>
      </c>
      <c r="B33" s="11"/>
      <c r="C33" s="11"/>
      <c r="D33" s="2" t="s">
        <v>4344</v>
      </c>
      <c r="E33" s="2" t="s">
        <v>4345</v>
      </c>
      <c r="F33" s="2" t="s">
        <v>4346</v>
      </c>
      <c r="G33" s="2" t="s">
        <v>4347</v>
      </c>
      <c r="H33" s="2" t="s">
        <v>4295</v>
      </c>
      <c r="I33" s="2" t="s">
        <v>551</v>
      </c>
      <c r="J33" s="4">
        <v>108</v>
      </c>
      <c r="K33" s="4">
        <v>13477.1</v>
      </c>
      <c r="L33" s="4">
        <f t="shared" si="1"/>
        <v>421.7</v>
      </c>
      <c r="M33" s="4">
        <v>421.7</v>
      </c>
      <c r="N33" s="4">
        <v>0</v>
      </c>
      <c r="O33" s="4">
        <v>0</v>
      </c>
      <c r="P33" s="4">
        <v>0</v>
      </c>
      <c r="Q33" s="2" t="s">
        <v>4348</v>
      </c>
      <c r="R33" s="2" t="s">
        <v>3492</v>
      </c>
      <c r="S33" s="2" t="s">
        <v>2</v>
      </c>
      <c r="T33" s="2" t="s">
        <v>2</v>
      </c>
    </row>
    <row r="34" spans="1:20" ht="24" customHeight="1" x14ac:dyDescent="0.3">
      <c r="A34" s="2" t="s">
        <v>120</v>
      </c>
      <c r="B34" s="11"/>
      <c r="C34" s="11"/>
      <c r="D34" s="2" t="s">
        <v>2127</v>
      </c>
      <c r="E34" s="2" t="s">
        <v>2128</v>
      </c>
      <c r="F34" s="2" t="s">
        <v>4349</v>
      </c>
      <c r="G34" s="2" t="s">
        <v>483</v>
      </c>
      <c r="H34" s="2" t="s">
        <v>4295</v>
      </c>
      <c r="I34" s="2" t="s">
        <v>551</v>
      </c>
      <c r="J34" s="4">
        <v>21.6</v>
      </c>
      <c r="K34" s="4">
        <v>0</v>
      </c>
      <c r="L34" s="4">
        <f t="shared" si="1"/>
        <v>0</v>
      </c>
      <c r="M34" s="4">
        <v>0</v>
      </c>
      <c r="N34" s="4">
        <v>0</v>
      </c>
      <c r="O34" s="4">
        <v>0</v>
      </c>
      <c r="P34" s="4">
        <v>0</v>
      </c>
      <c r="Q34" s="2" t="s">
        <v>2130</v>
      </c>
      <c r="R34" s="2" t="s">
        <v>3486</v>
      </c>
      <c r="S34" s="2" t="s">
        <v>2</v>
      </c>
      <c r="T34" s="2" t="s">
        <v>2</v>
      </c>
    </row>
    <row r="35" spans="1:20" ht="24" customHeight="1" x14ac:dyDescent="0.3">
      <c r="A35" s="2" t="s">
        <v>123</v>
      </c>
      <c r="B35" s="11"/>
      <c r="C35" s="11"/>
      <c r="D35" s="2" t="s">
        <v>4350</v>
      </c>
      <c r="E35" s="2" t="s">
        <v>4351</v>
      </c>
      <c r="F35" s="2" t="s">
        <v>4352</v>
      </c>
      <c r="G35" s="2" t="s">
        <v>4353</v>
      </c>
      <c r="H35" s="2" t="s">
        <v>4354</v>
      </c>
      <c r="I35" s="2" t="s">
        <v>551</v>
      </c>
      <c r="J35" s="4">
        <v>0.2</v>
      </c>
      <c r="K35" s="4">
        <v>0</v>
      </c>
      <c r="L35" s="4">
        <f t="shared" si="1"/>
        <v>0</v>
      </c>
      <c r="M35" s="4">
        <v>0</v>
      </c>
      <c r="N35" s="4">
        <v>0</v>
      </c>
      <c r="O35" s="4">
        <v>0</v>
      </c>
      <c r="P35" s="4">
        <v>0</v>
      </c>
      <c r="Q35" s="2" t="s">
        <v>2</v>
      </c>
      <c r="R35" s="2" t="s">
        <v>3455</v>
      </c>
      <c r="S35" s="2" t="s">
        <v>2400</v>
      </c>
      <c r="T35" s="2" t="s">
        <v>2</v>
      </c>
    </row>
    <row r="36" spans="1:20" ht="24" customHeight="1" x14ac:dyDescent="0.3">
      <c r="A36" s="2" t="s">
        <v>135</v>
      </c>
      <c r="B36" s="11"/>
      <c r="C36" s="11" t="s">
        <v>403</v>
      </c>
      <c r="D36" s="2" t="s">
        <v>4355</v>
      </c>
      <c r="E36" s="2" t="s">
        <v>4356</v>
      </c>
      <c r="F36" s="2" t="s">
        <v>4357</v>
      </c>
      <c r="G36" s="2" t="s">
        <v>4358</v>
      </c>
      <c r="H36" s="2" t="s">
        <v>4275</v>
      </c>
      <c r="I36" s="2" t="s">
        <v>572</v>
      </c>
      <c r="J36" s="4">
        <v>100</v>
      </c>
      <c r="K36" s="4">
        <v>1092</v>
      </c>
      <c r="L36" s="4">
        <f t="shared" si="1"/>
        <v>0</v>
      </c>
      <c r="M36" s="4">
        <v>0</v>
      </c>
      <c r="N36" s="4">
        <v>0</v>
      </c>
      <c r="O36" s="4">
        <v>0</v>
      </c>
      <c r="P36" s="4">
        <v>0</v>
      </c>
      <c r="Q36" s="2" t="s">
        <v>4359</v>
      </c>
      <c r="R36" s="2" t="s">
        <v>4096</v>
      </c>
      <c r="S36" s="2" t="s">
        <v>2</v>
      </c>
      <c r="T36" s="2" t="s">
        <v>2</v>
      </c>
    </row>
    <row r="37" spans="1:20" ht="24" customHeight="1" x14ac:dyDescent="0.3">
      <c r="A37" s="2" t="s">
        <v>136</v>
      </c>
      <c r="B37" s="11"/>
      <c r="C37" s="11"/>
      <c r="D37" s="2" t="s">
        <v>4360</v>
      </c>
      <c r="E37" s="2" t="s">
        <v>4361</v>
      </c>
      <c r="F37" s="2" t="s">
        <v>4362</v>
      </c>
      <c r="G37" s="2" t="s">
        <v>4363</v>
      </c>
      <c r="H37" s="2" t="s">
        <v>4275</v>
      </c>
      <c r="I37" s="2" t="s">
        <v>534</v>
      </c>
      <c r="J37" s="4">
        <v>5</v>
      </c>
      <c r="K37" s="4">
        <v>0</v>
      </c>
      <c r="L37" s="4">
        <f t="shared" si="1"/>
        <v>0</v>
      </c>
      <c r="M37" s="4">
        <v>0</v>
      </c>
      <c r="N37" s="4">
        <v>0</v>
      </c>
      <c r="O37" s="4">
        <v>0</v>
      </c>
      <c r="P37" s="4">
        <v>0</v>
      </c>
      <c r="Q37" s="2" t="s">
        <v>4364</v>
      </c>
      <c r="R37" s="2" t="s">
        <v>1102</v>
      </c>
      <c r="S37" s="2" t="s">
        <v>3394</v>
      </c>
      <c r="T37" s="2" t="s">
        <v>4365</v>
      </c>
    </row>
    <row r="38" spans="1:20" ht="24" customHeight="1" x14ac:dyDescent="0.3">
      <c r="A38" s="2" t="s">
        <v>137</v>
      </c>
      <c r="B38" s="11"/>
      <c r="C38" s="11"/>
      <c r="D38" s="2" t="s">
        <v>4366</v>
      </c>
      <c r="E38" s="2" t="s">
        <v>3670</v>
      </c>
      <c r="F38" s="2" t="s">
        <v>4367</v>
      </c>
      <c r="G38" s="2" t="s">
        <v>4363</v>
      </c>
      <c r="H38" s="2" t="s">
        <v>4275</v>
      </c>
      <c r="I38" s="2" t="s">
        <v>534</v>
      </c>
      <c r="J38" s="4">
        <v>3</v>
      </c>
      <c r="K38" s="4">
        <v>0</v>
      </c>
      <c r="L38" s="4">
        <f t="shared" si="1"/>
        <v>0</v>
      </c>
      <c r="M38" s="4">
        <v>0</v>
      </c>
      <c r="N38" s="4">
        <v>0</v>
      </c>
      <c r="O38" s="4">
        <v>0</v>
      </c>
      <c r="P38" s="4">
        <v>0</v>
      </c>
      <c r="Q38" s="2" t="s">
        <v>4368</v>
      </c>
      <c r="R38" s="2" t="s">
        <v>3700</v>
      </c>
      <c r="S38" s="2" t="s">
        <v>3525</v>
      </c>
      <c r="T38" s="2" t="s">
        <v>980</v>
      </c>
    </row>
    <row r="39" spans="1:20" ht="24" customHeight="1" x14ac:dyDescent="0.3">
      <c r="A39" s="2" t="s">
        <v>138</v>
      </c>
      <c r="B39" s="11"/>
      <c r="C39" s="11"/>
      <c r="D39" s="2" t="s">
        <v>4369</v>
      </c>
      <c r="E39" s="2" t="s">
        <v>1147</v>
      </c>
      <c r="F39" s="2" t="s">
        <v>4370</v>
      </c>
      <c r="G39" s="2" t="s">
        <v>480</v>
      </c>
      <c r="H39" s="2" t="s">
        <v>517</v>
      </c>
      <c r="I39" s="2" t="s">
        <v>3541</v>
      </c>
      <c r="J39" s="4">
        <v>100</v>
      </c>
      <c r="K39" s="4">
        <v>46122.3</v>
      </c>
      <c r="L39" s="4">
        <f t="shared" si="1"/>
        <v>0</v>
      </c>
      <c r="M39" s="4">
        <v>0</v>
      </c>
      <c r="N39" s="4">
        <v>0</v>
      </c>
      <c r="O39" s="4">
        <v>0</v>
      </c>
      <c r="P39" s="4">
        <v>0</v>
      </c>
      <c r="Q39" s="2" t="s">
        <v>2</v>
      </c>
      <c r="R39" s="2" t="s">
        <v>1876</v>
      </c>
      <c r="S39" s="2" t="s">
        <v>2</v>
      </c>
      <c r="T39" s="2" t="s">
        <v>2</v>
      </c>
    </row>
    <row r="40" spans="1:20" ht="24" customHeight="1" x14ac:dyDescent="0.3">
      <c r="A40" s="2" t="s">
        <v>139</v>
      </c>
      <c r="B40" s="11"/>
      <c r="C40" s="11"/>
      <c r="D40" s="2" t="s">
        <v>4371</v>
      </c>
      <c r="E40" s="2" t="s">
        <v>4372</v>
      </c>
      <c r="F40" s="2" t="s">
        <v>4373</v>
      </c>
      <c r="G40" s="2" t="s">
        <v>4363</v>
      </c>
      <c r="H40" s="2" t="s">
        <v>4275</v>
      </c>
      <c r="I40" s="2" t="s">
        <v>534</v>
      </c>
      <c r="J40" s="4">
        <v>7</v>
      </c>
      <c r="K40" s="4">
        <v>3.4</v>
      </c>
      <c r="L40" s="4">
        <f t="shared" si="1"/>
        <v>0</v>
      </c>
      <c r="M40" s="4">
        <v>0</v>
      </c>
      <c r="N40" s="4">
        <v>0</v>
      </c>
      <c r="O40" s="4">
        <v>0</v>
      </c>
      <c r="P40" s="4">
        <v>0</v>
      </c>
      <c r="Q40" s="2" t="s">
        <v>4374</v>
      </c>
      <c r="R40" s="2" t="s">
        <v>3549</v>
      </c>
      <c r="S40" s="2" t="s">
        <v>2</v>
      </c>
      <c r="T40" s="2" t="s">
        <v>2</v>
      </c>
    </row>
    <row r="41" spans="1:20" ht="24" customHeight="1" x14ac:dyDescent="0.3">
      <c r="A41" s="2" t="s">
        <v>140</v>
      </c>
      <c r="B41" s="11"/>
      <c r="C41" s="11"/>
      <c r="D41" s="2" t="s">
        <v>4375</v>
      </c>
      <c r="E41" s="2" t="s">
        <v>4376</v>
      </c>
      <c r="F41" s="2" t="s">
        <v>4377</v>
      </c>
      <c r="G41" s="2" t="s">
        <v>483</v>
      </c>
      <c r="H41" s="2" t="s">
        <v>4275</v>
      </c>
      <c r="I41" s="2" t="s">
        <v>3541</v>
      </c>
      <c r="J41" s="4">
        <v>176</v>
      </c>
      <c r="K41" s="4">
        <v>62796.800000000003</v>
      </c>
      <c r="L41" s="4">
        <f t="shared" si="1"/>
        <v>0</v>
      </c>
      <c r="M41" s="4">
        <v>0</v>
      </c>
      <c r="N41" s="4">
        <v>0</v>
      </c>
      <c r="O41" s="4">
        <v>0</v>
      </c>
      <c r="P41" s="4">
        <v>0</v>
      </c>
      <c r="Q41" s="2" t="s">
        <v>4378</v>
      </c>
      <c r="R41" s="2" t="s">
        <v>3436</v>
      </c>
      <c r="S41" s="2" t="s">
        <v>2</v>
      </c>
      <c r="T41" s="2" t="s">
        <v>2</v>
      </c>
    </row>
    <row r="42" spans="1:20" ht="24" customHeight="1" x14ac:dyDescent="0.3">
      <c r="A42" s="2" t="s">
        <v>141</v>
      </c>
      <c r="B42" s="11"/>
      <c r="C42" s="11"/>
      <c r="D42" s="2" t="s">
        <v>4379</v>
      </c>
      <c r="E42" s="2" t="s">
        <v>4380</v>
      </c>
      <c r="F42" s="2" t="s">
        <v>4381</v>
      </c>
      <c r="G42" s="2" t="s">
        <v>574</v>
      </c>
      <c r="H42" s="2" t="s">
        <v>4275</v>
      </c>
      <c r="I42" s="2" t="s">
        <v>3542</v>
      </c>
      <c r="J42" s="4">
        <v>15</v>
      </c>
      <c r="K42" s="4">
        <v>1002.2</v>
      </c>
      <c r="L42" s="4">
        <f t="shared" si="1"/>
        <v>0</v>
      </c>
      <c r="M42" s="4">
        <v>0</v>
      </c>
      <c r="N42" s="4">
        <v>0</v>
      </c>
      <c r="O42" s="4">
        <v>0</v>
      </c>
      <c r="P42" s="4">
        <v>0</v>
      </c>
      <c r="Q42" s="2" t="s">
        <v>4382</v>
      </c>
      <c r="R42" s="2" t="s">
        <v>3656</v>
      </c>
      <c r="S42" s="2" t="s">
        <v>2</v>
      </c>
      <c r="T42" s="2" t="s">
        <v>2</v>
      </c>
    </row>
    <row r="43" spans="1:20" ht="24" customHeight="1" x14ac:dyDescent="0.3">
      <c r="A43" s="2" t="s">
        <v>142</v>
      </c>
      <c r="B43" s="11"/>
      <c r="C43" s="11" t="s">
        <v>215</v>
      </c>
      <c r="D43" s="2" t="s">
        <v>4383</v>
      </c>
      <c r="E43" s="2" t="s">
        <v>4384</v>
      </c>
      <c r="F43" s="2" t="s">
        <v>4385</v>
      </c>
      <c r="G43" s="2" t="s">
        <v>4257</v>
      </c>
      <c r="H43" s="2" t="s">
        <v>517</v>
      </c>
      <c r="I43" s="2" t="s">
        <v>584</v>
      </c>
      <c r="J43" s="4">
        <v>30</v>
      </c>
      <c r="K43" s="4">
        <v>4500.5</v>
      </c>
      <c r="L43" s="4">
        <f t="shared" si="1"/>
        <v>0</v>
      </c>
      <c r="M43" s="4">
        <v>0</v>
      </c>
      <c r="N43" s="4">
        <v>0</v>
      </c>
      <c r="O43" s="4">
        <v>0</v>
      </c>
      <c r="P43" s="4">
        <v>0</v>
      </c>
      <c r="Q43" s="2" t="s">
        <v>4386</v>
      </c>
      <c r="R43" s="2" t="s">
        <v>535</v>
      </c>
      <c r="S43" s="2" t="s">
        <v>2</v>
      </c>
      <c r="T43" s="2" t="s">
        <v>2</v>
      </c>
    </row>
    <row r="44" spans="1:20" ht="24" customHeight="1" x14ac:dyDescent="0.3">
      <c r="A44" s="2" t="s">
        <v>143</v>
      </c>
      <c r="B44" s="11"/>
      <c r="C44" s="11"/>
      <c r="D44" s="2" t="s">
        <v>4387</v>
      </c>
      <c r="E44" s="2" t="s">
        <v>4388</v>
      </c>
      <c r="F44" s="2" t="s">
        <v>4389</v>
      </c>
      <c r="G44" s="2" t="s">
        <v>419</v>
      </c>
      <c r="H44" s="2" t="s">
        <v>517</v>
      </c>
      <c r="I44" s="2" t="s">
        <v>584</v>
      </c>
      <c r="J44" s="4">
        <v>99</v>
      </c>
      <c r="K44" s="4">
        <v>28530.2</v>
      </c>
      <c r="L44" s="4">
        <f t="shared" si="1"/>
        <v>0</v>
      </c>
      <c r="M44" s="4">
        <v>0</v>
      </c>
      <c r="N44" s="4">
        <v>0</v>
      </c>
      <c r="O44" s="4">
        <v>0</v>
      </c>
      <c r="P44" s="4">
        <v>0</v>
      </c>
      <c r="Q44" s="2" t="s">
        <v>4390</v>
      </c>
      <c r="R44" s="2" t="s">
        <v>3385</v>
      </c>
      <c r="S44" s="2" t="s">
        <v>2</v>
      </c>
      <c r="T44" s="2" t="s">
        <v>2</v>
      </c>
    </row>
    <row r="45" spans="1:20" ht="24" customHeight="1" x14ac:dyDescent="0.3">
      <c r="A45" s="2" t="s">
        <v>144</v>
      </c>
      <c r="B45" s="11"/>
      <c r="C45" s="11"/>
      <c r="D45" s="2" t="s">
        <v>4391</v>
      </c>
      <c r="E45" s="2" t="s">
        <v>4392</v>
      </c>
      <c r="F45" s="2" t="s">
        <v>4393</v>
      </c>
      <c r="G45" s="2" t="s">
        <v>4394</v>
      </c>
      <c r="H45" s="2" t="s">
        <v>517</v>
      </c>
      <c r="I45" s="2" t="s">
        <v>584</v>
      </c>
      <c r="J45" s="4">
        <v>20</v>
      </c>
      <c r="K45" s="4">
        <v>4996.8</v>
      </c>
      <c r="L45" s="4">
        <f t="shared" si="1"/>
        <v>214.2</v>
      </c>
      <c r="M45" s="4">
        <v>214.2</v>
      </c>
      <c r="N45" s="4">
        <v>0</v>
      </c>
      <c r="O45" s="4">
        <v>0</v>
      </c>
      <c r="P45" s="4">
        <v>0</v>
      </c>
      <c r="Q45" s="2" t="s">
        <v>4395</v>
      </c>
      <c r="R45" s="2" t="s">
        <v>492</v>
      </c>
      <c r="S45" s="2" t="s">
        <v>2</v>
      </c>
      <c r="T45" s="2" t="s">
        <v>2</v>
      </c>
    </row>
    <row r="46" spans="1:20" ht="24" customHeight="1" x14ac:dyDescent="0.3">
      <c r="A46" s="2" t="s">
        <v>145</v>
      </c>
      <c r="B46" s="11"/>
      <c r="C46" s="11" t="s">
        <v>60</v>
      </c>
      <c r="D46" s="2" t="s">
        <v>4396</v>
      </c>
      <c r="E46" s="2" t="s">
        <v>4397</v>
      </c>
      <c r="F46" s="2" t="s">
        <v>4398</v>
      </c>
      <c r="G46" s="2" t="s">
        <v>574</v>
      </c>
      <c r="H46" s="2" t="s">
        <v>4399</v>
      </c>
      <c r="I46" s="2" t="s">
        <v>3542</v>
      </c>
      <c r="J46" s="4">
        <v>5</v>
      </c>
      <c r="K46" s="4">
        <v>5</v>
      </c>
      <c r="L46" s="4">
        <f t="shared" si="1"/>
        <v>0</v>
      </c>
      <c r="M46" s="4">
        <v>0</v>
      </c>
      <c r="N46" s="4">
        <v>0</v>
      </c>
      <c r="O46" s="4">
        <v>0</v>
      </c>
      <c r="P46" s="4">
        <v>0</v>
      </c>
      <c r="Q46" s="2" t="s">
        <v>2</v>
      </c>
      <c r="R46" s="2" t="s">
        <v>3661</v>
      </c>
      <c r="S46" s="2" t="s">
        <v>2</v>
      </c>
      <c r="T46" s="2" t="s">
        <v>2</v>
      </c>
    </row>
    <row r="47" spans="1:20" ht="24" customHeight="1" x14ac:dyDescent="0.3">
      <c r="A47" s="2" t="s">
        <v>146</v>
      </c>
      <c r="B47" s="11"/>
      <c r="C47" s="11"/>
      <c r="D47" s="2" t="s">
        <v>4400</v>
      </c>
      <c r="E47" s="2" t="s">
        <v>4401</v>
      </c>
      <c r="F47" s="2" t="s">
        <v>4402</v>
      </c>
      <c r="G47" s="2" t="s">
        <v>483</v>
      </c>
      <c r="H47" s="2" t="s">
        <v>517</v>
      </c>
      <c r="I47" s="2" t="s">
        <v>551</v>
      </c>
      <c r="J47" s="4">
        <v>80</v>
      </c>
      <c r="K47" s="4">
        <v>27606.9</v>
      </c>
      <c r="L47" s="4">
        <f t="shared" si="1"/>
        <v>0</v>
      </c>
      <c r="M47" s="4">
        <v>0</v>
      </c>
      <c r="N47" s="4">
        <v>0</v>
      </c>
      <c r="O47" s="4">
        <v>0</v>
      </c>
      <c r="P47" s="4">
        <v>0</v>
      </c>
      <c r="Q47" s="2" t="s">
        <v>4403</v>
      </c>
      <c r="R47" s="2" t="s">
        <v>4098</v>
      </c>
      <c r="S47" s="2" t="s">
        <v>2</v>
      </c>
      <c r="T47" s="2" t="s">
        <v>2</v>
      </c>
    </row>
    <row r="48" spans="1:20" ht="24" customHeight="1" x14ac:dyDescent="0.3">
      <c r="A48" s="2" t="s">
        <v>147</v>
      </c>
      <c r="B48" s="11"/>
      <c r="C48" s="11"/>
      <c r="D48" s="2" t="s">
        <v>4404</v>
      </c>
      <c r="E48" s="2" t="s">
        <v>4405</v>
      </c>
      <c r="F48" s="2" t="s">
        <v>4406</v>
      </c>
      <c r="G48" s="2" t="s">
        <v>483</v>
      </c>
      <c r="H48" s="2" t="s">
        <v>517</v>
      </c>
      <c r="I48" s="2" t="s">
        <v>551</v>
      </c>
      <c r="J48" s="4">
        <v>168</v>
      </c>
      <c r="K48" s="4">
        <v>37200</v>
      </c>
      <c r="L48" s="4">
        <f t="shared" si="1"/>
        <v>0</v>
      </c>
      <c r="M48" s="4">
        <v>0</v>
      </c>
      <c r="N48" s="4">
        <v>0</v>
      </c>
      <c r="O48" s="4">
        <v>0</v>
      </c>
      <c r="P48" s="4">
        <v>0</v>
      </c>
      <c r="Q48" s="2" t="s">
        <v>4407</v>
      </c>
      <c r="R48" s="2" t="s">
        <v>4408</v>
      </c>
      <c r="S48" s="2" t="s">
        <v>2</v>
      </c>
      <c r="T48" s="2" t="s">
        <v>2</v>
      </c>
    </row>
    <row r="49" spans="1:20" ht="24" customHeight="1" x14ac:dyDescent="0.3">
      <c r="A49" s="2" t="s">
        <v>148</v>
      </c>
      <c r="B49" s="11"/>
      <c r="C49" s="11"/>
      <c r="D49" s="2" t="s">
        <v>4409</v>
      </c>
      <c r="E49" s="2" t="s">
        <v>4410</v>
      </c>
      <c r="F49" s="2" t="s">
        <v>4411</v>
      </c>
      <c r="G49" s="2" t="s">
        <v>4294</v>
      </c>
      <c r="H49" s="2" t="s">
        <v>517</v>
      </c>
      <c r="I49" s="2" t="s">
        <v>551</v>
      </c>
      <c r="J49" s="4">
        <v>50</v>
      </c>
      <c r="K49" s="4">
        <v>20694.400000000001</v>
      </c>
      <c r="L49" s="4">
        <f t="shared" si="1"/>
        <v>0</v>
      </c>
      <c r="M49" s="4">
        <v>0</v>
      </c>
      <c r="N49" s="4">
        <v>0</v>
      </c>
      <c r="O49" s="4">
        <v>0</v>
      </c>
      <c r="P49" s="4">
        <v>0</v>
      </c>
      <c r="Q49" s="2" t="s">
        <v>4412</v>
      </c>
      <c r="R49" s="2" t="s">
        <v>4413</v>
      </c>
      <c r="S49" s="2" t="s">
        <v>2</v>
      </c>
      <c r="T49" s="2" t="s">
        <v>2</v>
      </c>
    </row>
    <row r="50" spans="1:20" ht="24" customHeight="1" x14ac:dyDescent="0.3">
      <c r="A50" s="2" t="s">
        <v>149</v>
      </c>
      <c r="B50" s="11"/>
      <c r="C50" s="11"/>
      <c r="D50" s="2" t="s">
        <v>4414</v>
      </c>
      <c r="E50" s="2" t="s">
        <v>4415</v>
      </c>
      <c r="F50" s="2" t="s">
        <v>4416</v>
      </c>
      <c r="G50" s="2" t="s">
        <v>4417</v>
      </c>
      <c r="H50" s="2" t="s">
        <v>517</v>
      </c>
      <c r="I50" s="2" t="s">
        <v>3542</v>
      </c>
      <c r="J50" s="4">
        <v>48</v>
      </c>
      <c r="K50" s="4">
        <v>0</v>
      </c>
      <c r="L50" s="4">
        <f t="shared" si="1"/>
        <v>0</v>
      </c>
      <c r="M50" s="4">
        <v>0</v>
      </c>
      <c r="N50" s="4">
        <v>0</v>
      </c>
      <c r="O50" s="4">
        <v>0</v>
      </c>
      <c r="P50" s="4">
        <v>0</v>
      </c>
      <c r="Q50" s="2" t="s">
        <v>2</v>
      </c>
      <c r="R50" s="2" t="s">
        <v>304</v>
      </c>
      <c r="S50" s="2" t="s">
        <v>2</v>
      </c>
      <c r="T50" s="2" t="s">
        <v>2</v>
      </c>
    </row>
    <row r="51" spans="1:20" ht="24" customHeight="1" x14ac:dyDescent="0.3">
      <c r="A51" s="2" t="s">
        <v>150</v>
      </c>
      <c r="B51" s="11"/>
      <c r="C51" s="11"/>
      <c r="D51" s="2" t="s">
        <v>4088</v>
      </c>
      <c r="E51" s="2" t="s">
        <v>4418</v>
      </c>
      <c r="F51" s="2" t="s">
        <v>4419</v>
      </c>
      <c r="G51" s="2" t="s">
        <v>4420</v>
      </c>
      <c r="H51" s="2" t="s">
        <v>4421</v>
      </c>
      <c r="I51" s="2" t="s">
        <v>551</v>
      </c>
      <c r="J51" s="4">
        <v>1.6</v>
      </c>
      <c r="K51" s="4">
        <v>59.9</v>
      </c>
      <c r="L51" s="4">
        <f t="shared" si="1"/>
        <v>0</v>
      </c>
      <c r="M51" s="4">
        <v>0</v>
      </c>
      <c r="N51" s="4">
        <v>0</v>
      </c>
      <c r="O51" s="4">
        <v>0</v>
      </c>
      <c r="P51" s="4">
        <v>0</v>
      </c>
      <c r="Q51" s="2" t="s">
        <v>2</v>
      </c>
      <c r="R51" s="2" t="s">
        <v>3575</v>
      </c>
      <c r="S51" s="2" t="s">
        <v>2</v>
      </c>
      <c r="T51" s="2" t="s">
        <v>2</v>
      </c>
    </row>
    <row r="52" spans="1:20" ht="24" customHeight="1" x14ac:dyDescent="0.3">
      <c r="A52" s="2" t="s">
        <v>151</v>
      </c>
      <c r="B52" s="11"/>
      <c r="C52" s="11"/>
      <c r="D52" s="2" t="s">
        <v>4422</v>
      </c>
      <c r="E52" s="2" t="s">
        <v>3463</v>
      </c>
      <c r="F52" s="2" t="s">
        <v>4423</v>
      </c>
      <c r="G52" s="2" t="s">
        <v>4424</v>
      </c>
      <c r="H52" s="2" t="s">
        <v>517</v>
      </c>
      <c r="I52" s="2" t="s">
        <v>551</v>
      </c>
      <c r="J52" s="4">
        <v>96</v>
      </c>
      <c r="K52" s="4">
        <v>15692.1</v>
      </c>
      <c r="L52" s="4">
        <f t="shared" si="1"/>
        <v>0</v>
      </c>
      <c r="M52" s="4">
        <v>0</v>
      </c>
      <c r="N52" s="4">
        <v>0</v>
      </c>
      <c r="O52" s="4">
        <v>0</v>
      </c>
      <c r="P52" s="4">
        <v>0</v>
      </c>
      <c r="Q52" s="2" t="s">
        <v>2</v>
      </c>
      <c r="R52" s="2" t="s">
        <v>3973</v>
      </c>
      <c r="S52" s="2" t="s">
        <v>2</v>
      </c>
      <c r="T52" s="2" t="s">
        <v>2</v>
      </c>
    </row>
    <row r="53" spans="1:20" ht="24" customHeight="1" x14ac:dyDescent="0.3">
      <c r="A53" s="2" t="s">
        <v>152</v>
      </c>
      <c r="B53" s="11"/>
      <c r="C53" s="11"/>
      <c r="D53" s="2" t="s">
        <v>4425</v>
      </c>
      <c r="E53" s="2" t="s">
        <v>2961</v>
      </c>
      <c r="F53" s="2" t="s">
        <v>4426</v>
      </c>
      <c r="G53" s="2" t="s">
        <v>419</v>
      </c>
      <c r="H53" s="2" t="s">
        <v>517</v>
      </c>
      <c r="I53" s="2" t="s">
        <v>551</v>
      </c>
      <c r="J53" s="4">
        <v>150</v>
      </c>
      <c r="K53" s="4">
        <v>20817.400000000001</v>
      </c>
      <c r="L53" s="4">
        <f t="shared" si="1"/>
        <v>0</v>
      </c>
      <c r="M53" s="4">
        <v>0</v>
      </c>
      <c r="N53" s="4">
        <v>0</v>
      </c>
      <c r="O53" s="4">
        <v>0</v>
      </c>
      <c r="P53" s="4">
        <v>0</v>
      </c>
      <c r="Q53" s="2" t="s">
        <v>2963</v>
      </c>
      <c r="R53" s="2" t="s">
        <v>4427</v>
      </c>
      <c r="S53" s="2" t="s">
        <v>2</v>
      </c>
      <c r="T53" s="2" t="s">
        <v>2</v>
      </c>
    </row>
    <row r="54" spans="1:20" ht="24" customHeight="1" x14ac:dyDescent="0.3">
      <c r="A54" s="2" t="s">
        <v>153</v>
      </c>
      <c r="B54" s="11"/>
      <c r="C54" s="11"/>
      <c r="D54" s="2" t="s">
        <v>4428</v>
      </c>
      <c r="E54" s="2" t="s">
        <v>4429</v>
      </c>
      <c r="F54" s="2" t="s">
        <v>4430</v>
      </c>
      <c r="G54" s="2" t="s">
        <v>4431</v>
      </c>
      <c r="H54" s="2" t="s">
        <v>4322</v>
      </c>
      <c r="I54" s="2" t="s">
        <v>551</v>
      </c>
      <c r="J54" s="4">
        <v>9.5</v>
      </c>
      <c r="K54" s="4">
        <v>2937.5</v>
      </c>
      <c r="L54" s="4">
        <f t="shared" si="1"/>
        <v>0</v>
      </c>
      <c r="M54" s="4">
        <v>0</v>
      </c>
      <c r="N54" s="4">
        <v>0</v>
      </c>
      <c r="O54" s="4">
        <v>0</v>
      </c>
      <c r="P54" s="4">
        <v>0</v>
      </c>
      <c r="Q54" s="2" t="s">
        <v>2</v>
      </c>
      <c r="R54" s="2" t="s">
        <v>3644</v>
      </c>
      <c r="S54" s="2" t="s">
        <v>2</v>
      </c>
      <c r="T54" s="2" t="s">
        <v>4432</v>
      </c>
    </row>
    <row r="55" spans="1:20" ht="24" customHeight="1" x14ac:dyDescent="0.3">
      <c r="A55" s="2" t="s">
        <v>155</v>
      </c>
      <c r="B55" s="11"/>
      <c r="C55" s="11"/>
      <c r="D55" s="2" t="s">
        <v>4433</v>
      </c>
      <c r="E55" s="2" t="s">
        <v>4434</v>
      </c>
      <c r="F55" s="2" t="s">
        <v>4435</v>
      </c>
      <c r="G55" s="2" t="s">
        <v>4436</v>
      </c>
      <c r="H55" s="2" t="s">
        <v>4437</v>
      </c>
      <c r="I55" s="2" t="s">
        <v>584</v>
      </c>
      <c r="J55" s="4">
        <v>192</v>
      </c>
      <c r="K55" s="4">
        <v>191.4</v>
      </c>
      <c r="L55" s="4">
        <f t="shared" si="1"/>
        <v>191.4</v>
      </c>
      <c r="M55" s="4">
        <v>191.4</v>
      </c>
      <c r="N55" s="4">
        <v>0</v>
      </c>
      <c r="O55" s="4">
        <v>0</v>
      </c>
      <c r="P55" s="4">
        <v>0</v>
      </c>
      <c r="Q55" s="2" t="s">
        <v>4438</v>
      </c>
      <c r="R55" s="2" t="s">
        <v>3412</v>
      </c>
      <c r="S55" s="2" t="s">
        <v>2</v>
      </c>
      <c r="T55" s="2" t="s">
        <v>2</v>
      </c>
    </row>
    <row r="56" spans="1:20" ht="24" customHeight="1" x14ac:dyDescent="0.3">
      <c r="A56" s="2" t="s">
        <v>362</v>
      </c>
      <c r="B56" s="11"/>
      <c r="C56" s="11"/>
      <c r="D56" s="2" t="s">
        <v>4439</v>
      </c>
      <c r="E56" s="2" t="s">
        <v>589</v>
      </c>
      <c r="F56" s="2" t="s">
        <v>4440</v>
      </c>
      <c r="G56" s="2" t="s">
        <v>419</v>
      </c>
      <c r="H56" s="2" t="s">
        <v>517</v>
      </c>
      <c r="I56" s="2" t="s">
        <v>551</v>
      </c>
      <c r="J56" s="4">
        <v>64</v>
      </c>
      <c r="K56" s="4">
        <v>17356.2</v>
      </c>
      <c r="L56" s="4">
        <f t="shared" si="1"/>
        <v>0</v>
      </c>
      <c r="M56" s="4">
        <v>0</v>
      </c>
      <c r="N56" s="4">
        <v>0</v>
      </c>
      <c r="O56" s="4">
        <v>0</v>
      </c>
      <c r="P56" s="4">
        <v>0</v>
      </c>
      <c r="Q56" s="2" t="s">
        <v>2</v>
      </c>
      <c r="R56" s="2" t="s">
        <v>492</v>
      </c>
      <c r="S56" s="2" t="s">
        <v>2</v>
      </c>
      <c r="T56" s="2" t="s">
        <v>2</v>
      </c>
    </row>
    <row r="57" spans="1:20" ht="24" customHeight="1" x14ac:dyDescent="0.3">
      <c r="A57" s="2" t="s">
        <v>370</v>
      </c>
      <c r="B57" s="11"/>
      <c r="C57" s="11"/>
      <c r="D57" s="2" t="s">
        <v>4441</v>
      </c>
      <c r="E57" s="2" t="s">
        <v>405</v>
      </c>
      <c r="F57" s="2" t="s">
        <v>4442</v>
      </c>
      <c r="G57" s="2" t="s">
        <v>4443</v>
      </c>
      <c r="H57" s="2" t="s">
        <v>517</v>
      </c>
      <c r="I57" s="2" t="s">
        <v>551</v>
      </c>
      <c r="J57" s="4">
        <v>24</v>
      </c>
      <c r="K57" s="4">
        <v>10493.7</v>
      </c>
      <c r="L57" s="4">
        <f t="shared" si="1"/>
        <v>0</v>
      </c>
      <c r="M57" s="4">
        <v>0</v>
      </c>
      <c r="N57" s="4">
        <v>0</v>
      </c>
      <c r="O57" s="4">
        <v>0</v>
      </c>
      <c r="P57" s="4">
        <v>0</v>
      </c>
      <c r="Q57" s="2" t="s">
        <v>4444</v>
      </c>
      <c r="R57" s="2" t="s">
        <v>3405</v>
      </c>
      <c r="S57" s="2" t="s">
        <v>2</v>
      </c>
      <c r="T57" s="2" t="s">
        <v>2</v>
      </c>
    </row>
    <row r="58" spans="1:20" ht="24" customHeight="1" x14ac:dyDescent="0.3">
      <c r="A58" s="2" t="s">
        <v>371</v>
      </c>
      <c r="B58" s="11"/>
      <c r="C58" s="11"/>
      <c r="D58" s="2" t="s">
        <v>2949</v>
      </c>
      <c r="E58" s="2" t="s">
        <v>2950</v>
      </c>
      <c r="F58" s="2" t="s">
        <v>4445</v>
      </c>
      <c r="G58" s="2" t="s">
        <v>4446</v>
      </c>
      <c r="H58" s="2" t="s">
        <v>517</v>
      </c>
      <c r="I58" s="2" t="s">
        <v>551</v>
      </c>
      <c r="J58" s="4">
        <v>10.6</v>
      </c>
      <c r="K58" s="4">
        <v>2136.6999999999998</v>
      </c>
      <c r="L58" s="4">
        <f t="shared" si="1"/>
        <v>0</v>
      </c>
      <c r="M58" s="4">
        <v>0</v>
      </c>
      <c r="N58" s="4">
        <v>0</v>
      </c>
      <c r="O58" s="4">
        <v>0</v>
      </c>
      <c r="P58" s="4">
        <v>0</v>
      </c>
      <c r="Q58" s="2" t="s">
        <v>2952</v>
      </c>
      <c r="R58" s="2" t="s">
        <v>4447</v>
      </c>
      <c r="S58" s="2" t="s">
        <v>2</v>
      </c>
      <c r="T58" s="2" t="s">
        <v>2</v>
      </c>
    </row>
    <row r="59" spans="1:20" ht="24" customHeight="1" x14ac:dyDescent="0.3">
      <c r="A59" s="2" t="s">
        <v>372</v>
      </c>
      <c r="B59" s="11"/>
      <c r="C59" s="11"/>
      <c r="D59" s="2" t="s">
        <v>4448</v>
      </c>
      <c r="E59" s="2" t="s">
        <v>4449</v>
      </c>
      <c r="F59" s="2" t="s">
        <v>4450</v>
      </c>
      <c r="G59" s="2" t="s">
        <v>483</v>
      </c>
      <c r="H59" s="2" t="s">
        <v>520</v>
      </c>
      <c r="I59" s="2" t="s">
        <v>551</v>
      </c>
      <c r="J59" s="4">
        <v>9.6</v>
      </c>
      <c r="K59" s="4">
        <v>369.5</v>
      </c>
      <c r="L59" s="4">
        <f t="shared" si="1"/>
        <v>0</v>
      </c>
      <c r="M59" s="4">
        <v>0</v>
      </c>
      <c r="N59" s="4">
        <v>0</v>
      </c>
      <c r="O59" s="4">
        <v>0</v>
      </c>
      <c r="P59" s="4">
        <v>0</v>
      </c>
      <c r="Q59" s="2" t="s">
        <v>4451</v>
      </c>
      <c r="R59" s="2" t="s">
        <v>3494</v>
      </c>
      <c r="S59" s="2" t="s">
        <v>2</v>
      </c>
      <c r="T59" s="2" t="s">
        <v>2</v>
      </c>
    </row>
    <row r="60" spans="1:20" ht="24" customHeight="1" x14ac:dyDescent="0.3">
      <c r="A60" s="2" t="s">
        <v>330</v>
      </c>
      <c r="B60" s="11"/>
      <c r="C60" s="11"/>
      <c r="D60" s="2" t="s">
        <v>4452</v>
      </c>
      <c r="E60" s="2" t="s">
        <v>4453</v>
      </c>
      <c r="F60" s="2" t="s">
        <v>4454</v>
      </c>
      <c r="G60" s="2" t="s">
        <v>4455</v>
      </c>
      <c r="H60" s="2" t="s">
        <v>4456</v>
      </c>
      <c r="I60" s="2" t="s">
        <v>582</v>
      </c>
      <c r="J60" s="4">
        <v>3</v>
      </c>
      <c r="K60" s="4">
        <v>0</v>
      </c>
      <c r="L60" s="4">
        <f t="shared" si="1"/>
        <v>0</v>
      </c>
      <c r="M60" s="4">
        <v>0</v>
      </c>
      <c r="N60" s="4">
        <v>0</v>
      </c>
      <c r="O60" s="4">
        <v>0</v>
      </c>
      <c r="P60" s="4">
        <v>0</v>
      </c>
      <c r="Q60" s="2" t="s">
        <v>2</v>
      </c>
      <c r="R60" s="2" t="s">
        <v>4457</v>
      </c>
      <c r="S60" s="2" t="s">
        <v>742</v>
      </c>
      <c r="T60" s="2" t="s">
        <v>2</v>
      </c>
    </row>
    <row r="61" spans="1:20" ht="24" customHeight="1" x14ac:dyDescent="0.3">
      <c r="A61" s="2" t="s">
        <v>358</v>
      </c>
      <c r="B61" s="11"/>
      <c r="C61" s="11"/>
      <c r="D61" s="2" t="s">
        <v>4458</v>
      </c>
      <c r="E61" s="2" t="s">
        <v>4459</v>
      </c>
      <c r="F61" s="2" t="s">
        <v>4460</v>
      </c>
      <c r="G61" s="2" t="s">
        <v>4461</v>
      </c>
      <c r="H61" s="2" t="s">
        <v>517</v>
      </c>
      <c r="I61" s="2" t="s">
        <v>551</v>
      </c>
      <c r="J61" s="4">
        <v>80.900000000000006</v>
      </c>
      <c r="K61" s="4">
        <v>25456.2</v>
      </c>
      <c r="L61" s="4">
        <f t="shared" si="1"/>
        <v>0</v>
      </c>
      <c r="M61" s="4">
        <v>0</v>
      </c>
      <c r="N61" s="4">
        <v>0</v>
      </c>
      <c r="O61" s="4">
        <v>0</v>
      </c>
      <c r="P61" s="4">
        <v>0</v>
      </c>
      <c r="Q61" s="2" t="s">
        <v>4462</v>
      </c>
      <c r="R61" s="2" t="s">
        <v>4463</v>
      </c>
      <c r="S61" s="2" t="s">
        <v>2</v>
      </c>
      <c r="T61" s="2" t="s">
        <v>2</v>
      </c>
    </row>
    <row r="62" spans="1:20" ht="24" customHeight="1" x14ac:dyDescent="0.3">
      <c r="A62" s="2" t="s">
        <v>373</v>
      </c>
      <c r="B62" s="11"/>
      <c r="C62" s="11"/>
      <c r="D62" s="2" t="s">
        <v>4464</v>
      </c>
      <c r="E62" s="2" t="s">
        <v>3471</v>
      </c>
      <c r="F62" s="2" t="s">
        <v>4465</v>
      </c>
      <c r="G62" s="2" t="s">
        <v>4466</v>
      </c>
      <c r="H62" s="2" t="s">
        <v>517</v>
      </c>
      <c r="I62" s="2" t="s">
        <v>551</v>
      </c>
      <c r="J62" s="4">
        <v>40</v>
      </c>
      <c r="K62" s="4">
        <v>6114.4</v>
      </c>
      <c r="L62" s="4">
        <f t="shared" si="1"/>
        <v>0</v>
      </c>
      <c r="M62" s="4">
        <v>0</v>
      </c>
      <c r="N62" s="4">
        <v>0</v>
      </c>
      <c r="O62" s="4">
        <v>0</v>
      </c>
      <c r="P62" s="4">
        <v>0</v>
      </c>
      <c r="Q62" s="2" t="s">
        <v>4467</v>
      </c>
      <c r="R62" s="2" t="s">
        <v>3474</v>
      </c>
      <c r="S62" s="2" t="s">
        <v>2</v>
      </c>
      <c r="T62" s="2" t="s">
        <v>2</v>
      </c>
    </row>
    <row r="63" spans="1:20" ht="24" customHeight="1" x14ac:dyDescent="0.3">
      <c r="A63" s="2" t="s">
        <v>374</v>
      </c>
      <c r="B63" s="11"/>
      <c r="C63" s="11"/>
      <c r="D63" s="2" t="s">
        <v>4468</v>
      </c>
      <c r="E63" s="2" t="s">
        <v>2801</v>
      </c>
      <c r="F63" s="2" t="s">
        <v>4469</v>
      </c>
      <c r="G63" s="2" t="s">
        <v>4420</v>
      </c>
      <c r="H63" s="2" t="s">
        <v>527</v>
      </c>
      <c r="I63" s="2" t="s">
        <v>584</v>
      </c>
      <c r="J63" s="4">
        <v>5.6</v>
      </c>
      <c r="K63" s="4">
        <v>1876.5</v>
      </c>
      <c r="L63" s="4">
        <f t="shared" si="1"/>
        <v>0</v>
      </c>
      <c r="M63" s="4">
        <v>0</v>
      </c>
      <c r="N63" s="4">
        <v>0</v>
      </c>
      <c r="O63" s="4">
        <v>0</v>
      </c>
      <c r="P63" s="4">
        <v>0</v>
      </c>
      <c r="Q63" s="2" t="s">
        <v>2</v>
      </c>
      <c r="R63" s="2" t="s">
        <v>2024</v>
      </c>
      <c r="S63" s="2" t="s">
        <v>2</v>
      </c>
      <c r="T63" s="2" t="s">
        <v>2</v>
      </c>
    </row>
    <row r="64" spans="1:20" ht="24" customHeight="1" x14ac:dyDescent="0.3">
      <c r="A64" s="2" t="s">
        <v>375</v>
      </c>
      <c r="B64" s="11"/>
      <c r="C64" s="11"/>
      <c r="D64" s="2" t="s">
        <v>2805</v>
      </c>
      <c r="E64" s="2" t="s">
        <v>405</v>
      </c>
      <c r="F64" s="2" t="s">
        <v>4470</v>
      </c>
      <c r="G64" s="2" t="s">
        <v>4471</v>
      </c>
      <c r="H64" s="2" t="s">
        <v>4248</v>
      </c>
      <c r="I64" s="2" t="s">
        <v>551</v>
      </c>
      <c r="J64" s="4">
        <v>105</v>
      </c>
      <c r="K64" s="4">
        <v>26894.3</v>
      </c>
      <c r="L64" s="4">
        <f t="shared" si="1"/>
        <v>0</v>
      </c>
      <c r="M64" s="4">
        <v>0</v>
      </c>
      <c r="N64" s="4">
        <v>0</v>
      </c>
      <c r="O64" s="4">
        <v>0</v>
      </c>
      <c r="P64" s="4">
        <v>0</v>
      </c>
      <c r="Q64" s="2" t="s">
        <v>2</v>
      </c>
      <c r="R64" s="2" t="s">
        <v>3637</v>
      </c>
      <c r="S64" s="2" t="s">
        <v>2</v>
      </c>
      <c r="T64" s="2" t="s">
        <v>2</v>
      </c>
    </row>
    <row r="65" spans="1:20" ht="24" customHeight="1" x14ac:dyDescent="0.3">
      <c r="A65" s="2" t="s">
        <v>359</v>
      </c>
      <c r="B65" s="11"/>
      <c r="C65" s="11"/>
      <c r="D65" s="2" t="s">
        <v>4472</v>
      </c>
      <c r="E65" s="2" t="s">
        <v>405</v>
      </c>
      <c r="F65" s="2" t="s">
        <v>4473</v>
      </c>
      <c r="G65" s="2" t="s">
        <v>483</v>
      </c>
      <c r="H65" s="2" t="s">
        <v>520</v>
      </c>
      <c r="I65" s="2" t="s">
        <v>551</v>
      </c>
      <c r="J65" s="4">
        <v>96</v>
      </c>
      <c r="K65" s="4">
        <v>44039.7</v>
      </c>
      <c r="L65" s="4">
        <f t="shared" si="1"/>
        <v>384.4</v>
      </c>
      <c r="M65" s="4">
        <v>384.4</v>
      </c>
      <c r="N65" s="4">
        <v>0</v>
      </c>
      <c r="O65" s="4">
        <v>0</v>
      </c>
      <c r="P65" s="4">
        <v>0</v>
      </c>
      <c r="Q65" s="2" t="s">
        <v>4474</v>
      </c>
      <c r="R65" s="2" t="s">
        <v>3445</v>
      </c>
      <c r="S65" s="2" t="s">
        <v>2</v>
      </c>
      <c r="T65" s="2" t="s">
        <v>2</v>
      </c>
    </row>
    <row r="66" spans="1:20" ht="24" customHeight="1" x14ac:dyDescent="0.3">
      <c r="A66" s="2" t="s">
        <v>376</v>
      </c>
      <c r="B66" s="11"/>
      <c r="C66" s="11"/>
      <c r="D66" s="2" t="s">
        <v>4475</v>
      </c>
      <c r="E66" s="2" t="s">
        <v>4476</v>
      </c>
      <c r="F66" s="2" t="s">
        <v>4477</v>
      </c>
      <c r="G66" s="2" t="s">
        <v>4294</v>
      </c>
      <c r="H66" s="2" t="s">
        <v>517</v>
      </c>
      <c r="I66" s="2" t="s">
        <v>551</v>
      </c>
      <c r="J66" s="4">
        <v>72.3</v>
      </c>
      <c r="K66" s="4">
        <v>1313.8</v>
      </c>
      <c r="L66" s="4">
        <f t="shared" si="1"/>
        <v>0</v>
      </c>
      <c r="M66" s="4">
        <v>0</v>
      </c>
      <c r="N66" s="4">
        <v>0</v>
      </c>
      <c r="O66" s="4">
        <v>0</v>
      </c>
      <c r="P66" s="4">
        <v>0</v>
      </c>
      <c r="Q66" s="2" t="s">
        <v>4478</v>
      </c>
      <c r="R66" s="2" t="s">
        <v>1084</v>
      </c>
      <c r="S66" s="2" t="s">
        <v>2</v>
      </c>
      <c r="T66" s="2" t="s">
        <v>2</v>
      </c>
    </row>
    <row r="67" spans="1:20" ht="24" customHeight="1" x14ac:dyDescent="0.3">
      <c r="A67" s="2" t="s">
        <v>536</v>
      </c>
      <c r="B67" s="11"/>
      <c r="C67" s="11"/>
      <c r="D67" s="2" t="s">
        <v>2828</v>
      </c>
      <c r="E67" s="2" t="s">
        <v>2829</v>
      </c>
      <c r="F67" s="2" t="s">
        <v>4479</v>
      </c>
      <c r="G67" s="2" t="s">
        <v>4294</v>
      </c>
      <c r="H67" s="2" t="s">
        <v>517</v>
      </c>
      <c r="I67" s="2" t="s">
        <v>551</v>
      </c>
      <c r="J67" s="4">
        <v>99</v>
      </c>
      <c r="K67" s="4">
        <v>10568</v>
      </c>
      <c r="L67" s="4">
        <f t="shared" si="1"/>
        <v>0</v>
      </c>
      <c r="M67" s="4">
        <v>0</v>
      </c>
      <c r="N67" s="4">
        <v>0</v>
      </c>
      <c r="O67" s="4">
        <v>0</v>
      </c>
      <c r="P67" s="4">
        <v>0</v>
      </c>
      <c r="Q67" s="2" t="s">
        <v>4480</v>
      </c>
      <c r="R67" s="2" t="s">
        <v>4481</v>
      </c>
      <c r="S67" s="2" t="s">
        <v>2</v>
      </c>
      <c r="T67" s="2" t="s">
        <v>2</v>
      </c>
    </row>
    <row r="68" spans="1:20" ht="24" customHeight="1" x14ac:dyDescent="0.3">
      <c r="A68" s="2" t="s">
        <v>537</v>
      </c>
      <c r="B68" s="11"/>
      <c r="C68" s="11"/>
      <c r="D68" s="2" t="s">
        <v>4482</v>
      </c>
      <c r="E68" s="2" t="s">
        <v>4483</v>
      </c>
      <c r="F68" s="2" t="s">
        <v>4484</v>
      </c>
      <c r="G68" s="2" t="s">
        <v>4485</v>
      </c>
      <c r="H68" s="2" t="s">
        <v>517</v>
      </c>
      <c r="I68" s="2" t="s">
        <v>551</v>
      </c>
      <c r="J68" s="4">
        <v>154</v>
      </c>
      <c r="K68" s="4">
        <v>33534.199999999997</v>
      </c>
      <c r="L68" s="4">
        <f t="shared" si="1"/>
        <v>0</v>
      </c>
      <c r="M68" s="4">
        <v>0</v>
      </c>
      <c r="N68" s="4">
        <v>0</v>
      </c>
      <c r="O68" s="4">
        <v>0</v>
      </c>
      <c r="P68" s="4">
        <v>0</v>
      </c>
      <c r="Q68" s="2" t="s">
        <v>4486</v>
      </c>
      <c r="R68" s="2" t="s">
        <v>3503</v>
      </c>
      <c r="S68" s="2" t="s">
        <v>2</v>
      </c>
      <c r="T68" s="2" t="s">
        <v>2</v>
      </c>
    </row>
    <row r="69" spans="1:20" ht="24" customHeight="1" x14ac:dyDescent="0.3">
      <c r="A69" s="2" t="s">
        <v>538</v>
      </c>
      <c r="B69" s="11"/>
      <c r="C69" s="11"/>
      <c r="D69" s="2" t="s">
        <v>4487</v>
      </c>
      <c r="E69" s="2" t="s">
        <v>4488</v>
      </c>
      <c r="F69" s="2" t="s">
        <v>4489</v>
      </c>
      <c r="G69" s="2" t="s">
        <v>4490</v>
      </c>
      <c r="H69" s="2" t="s">
        <v>527</v>
      </c>
      <c r="I69" s="2" t="s">
        <v>4491</v>
      </c>
      <c r="J69" s="4">
        <v>48</v>
      </c>
      <c r="K69" s="4">
        <v>5887</v>
      </c>
      <c r="L69" s="4">
        <f t="shared" si="1"/>
        <v>0</v>
      </c>
      <c r="M69" s="4">
        <v>0</v>
      </c>
      <c r="N69" s="4">
        <v>0</v>
      </c>
      <c r="O69" s="4">
        <v>0</v>
      </c>
      <c r="P69" s="4">
        <v>0</v>
      </c>
      <c r="Q69" s="2" t="s">
        <v>4492</v>
      </c>
      <c r="R69" s="2" t="s">
        <v>3656</v>
      </c>
      <c r="S69" s="2" t="s">
        <v>2</v>
      </c>
      <c r="T69" s="2" t="s">
        <v>2</v>
      </c>
    </row>
    <row r="70" spans="1:20" ht="24" customHeight="1" x14ac:dyDescent="0.3">
      <c r="A70" s="2" t="s">
        <v>539</v>
      </c>
      <c r="B70" s="11"/>
      <c r="C70" s="11"/>
      <c r="D70" s="2" t="s">
        <v>2409</v>
      </c>
      <c r="E70" s="2" t="s">
        <v>589</v>
      </c>
      <c r="F70" s="2" t="s">
        <v>4493</v>
      </c>
      <c r="G70" s="2" t="s">
        <v>480</v>
      </c>
      <c r="H70" s="2" t="s">
        <v>517</v>
      </c>
      <c r="I70" s="2" t="s">
        <v>551</v>
      </c>
      <c r="J70" s="4">
        <v>160</v>
      </c>
      <c r="K70" s="4">
        <v>0</v>
      </c>
      <c r="L70" s="4">
        <f t="shared" si="1"/>
        <v>0</v>
      </c>
      <c r="M70" s="4">
        <v>0</v>
      </c>
      <c r="N70" s="4">
        <v>0</v>
      </c>
      <c r="O70" s="4">
        <v>0</v>
      </c>
      <c r="P70" s="4">
        <v>0</v>
      </c>
      <c r="Q70" s="2" t="s">
        <v>4494</v>
      </c>
      <c r="R70" s="2" t="s">
        <v>1094</v>
      </c>
      <c r="S70" s="2" t="s">
        <v>2</v>
      </c>
      <c r="T70" s="2" t="s">
        <v>2</v>
      </c>
    </row>
    <row r="71" spans="1:20" ht="24" customHeight="1" x14ac:dyDescent="0.3">
      <c r="A71" s="2" t="s">
        <v>540</v>
      </c>
      <c r="B71" s="11"/>
      <c r="C71" s="11"/>
      <c r="D71" s="2" t="s">
        <v>4495</v>
      </c>
      <c r="E71" s="2" t="s">
        <v>4496</v>
      </c>
      <c r="F71" s="2" t="s">
        <v>4497</v>
      </c>
      <c r="G71" s="2" t="s">
        <v>480</v>
      </c>
      <c r="H71" s="2" t="s">
        <v>517</v>
      </c>
      <c r="I71" s="2" t="s">
        <v>551</v>
      </c>
      <c r="J71" s="4">
        <v>220</v>
      </c>
      <c r="K71" s="4">
        <v>10489.4</v>
      </c>
      <c r="L71" s="4">
        <f t="shared" si="1"/>
        <v>0</v>
      </c>
      <c r="M71" s="4">
        <v>0</v>
      </c>
      <c r="N71" s="4">
        <v>0</v>
      </c>
      <c r="O71" s="4">
        <v>0</v>
      </c>
      <c r="P71" s="4">
        <v>0</v>
      </c>
      <c r="Q71" s="2" t="s">
        <v>4498</v>
      </c>
      <c r="R71" s="2" t="s">
        <v>4499</v>
      </c>
      <c r="S71" s="2" t="s">
        <v>2</v>
      </c>
      <c r="T71" s="2" t="s">
        <v>2</v>
      </c>
    </row>
    <row r="72" spans="1:20" ht="24" customHeight="1" x14ac:dyDescent="0.3">
      <c r="A72" s="2" t="s">
        <v>541</v>
      </c>
      <c r="B72" s="11"/>
      <c r="C72" s="11"/>
      <c r="D72" s="2" t="s">
        <v>4500</v>
      </c>
      <c r="E72" s="2" t="s">
        <v>4501</v>
      </c>
      <c r="F72" s="2" t="s">
        <v>4502</v>
      </c>
      <c r="G72" s="2" t="s">
        <v>4503</v>
      </c>
      <c r="H72" s="2" t="s">
        <v>4399</v>
      </c>
      <c r="I72" s="2" t="s">
        <v>551</v>
      </c>
      <c r="J72" s="4">
        <v>45</v>
      </c>
      <c r="K72" s="4">
        <v>14598.2</v>
      </c>
      <c r="L72" s="4">
        <f t="shared" si="1"/>
        <v>0</v>
      </c>
      <c r="M72" s="4">
        <v>0</v>
      </c>
      <c r="N72" s="4">
        <v>0</v>
      </c>
      <c r="O72" s="4">
        <v>0</v>
      </c>
      <c r="P72" s="4">
        <v>0</v>
      </c>
      <c r="Q72" s="2" t="s">
        <v>4504</v>
      </c>
      <c r="R72" s="2" t="s">
        <v>291</v>
      </c>
      <c r="S72" s="2" t="s">
        <v>2</v>
      </c>
      <c r="T72" s="2" t="s">
        <v>2</v>
      </c>
    </row>
    <row r="73" spans="1:20" ht="24" customHeight="1" x14ac:dyDescent="0.3">
      <c r="A73" s="2" t="s">
        <v>542</v>
      </c>
      <c r="B73" s="11"/>
      <c r="C73" s="11"/>
      <c r="D73" s="2" t="s">
        <v>4505</v>
      </c>
      <c r="E73" s="2" t="s">
        <v>4506</v>
      </c>
      <c r="F73" s="2" t="s">
        <v>4507</v>
      </c>
      <c r="G73" s="2" t="s">
        <v>4508</v>
      </c>
      <c r="H73" s="2" t="s">
        <v>517</v>
      </c>
      <c r="I73" s="2" t="s">
        <v>3542</v>
      </c>
      <c r="J73" s="4">
        <v>97</v>
      </c>
      <c r="K73" s="4">
        <v>32171.7</v>
      </c>
      <c r="L73" s="4">
        <f t="shared" si="1"/>
        <v>0</v>
      </c>
      <c r="M73" s="4">
        <v>0</v>
      </c>
      <c r="N73" s="4">
        <v>0</v>
      </c>
      <c r="O73" s="4">
        <v>0</v>
      </c>
      <c r="P73" s="4">
        <v>0</v>
      </c>
      <c r="Q73" s="2" t="s">
        <v>4509</v>
      </c>
      <c r="R73" s="2" t="s">
        <v>986</v>
      </c>
      <c r="S73" s="2" t="s">
        <v>2</v>
      </c>
      <c r="T73" s="2" t="s">
        <v>2</v>
      </c>
    </row>
    <row r="74" spans="1:20" ht="24" customHeight="1" x14ac:dyDescent="0.3">
      <c r="A74" s="2" t="s">
        <v>544</v>
      </c>
      <c r="B74" s="11"/>
      <c r="C74" s="11"/>
      <c r="D74" s="2" t="s">
        <v>4510</v>
      </c>
      <c r="E74" s="2" t="s">
        <v>3571</v>
      </c>
      <c r="F74" s="2" t="s">
        <v>4511</v>
      </c>
      <c r="G74" s="2" t="s">
        <v>574</v>
      </c>
      <c r="H74" s="2" t="s">
        <v>4399</v>
      </c>
      <c r="I74" s="2" t="s">
        <v>3542</v>
      </c>
      <c r="J74" s="4">
        <v>7</v>
      </c>
      <c r="K74" s="4">
        <v>1935.1</v>
      </c>
      <c r="L74" s="4">
        <f t="shared" si="1"/>
        <v>21.3</v>
      </c>
      <c r="M74" s="4">
        <v>0</v>
      </c>
      <c r="N74" s="4">
        <v>0</v>
      </c>
      <c r="O74" s="4">
        <v>0</v>
      </c>
      <c r="P74" s="4">
        <v>21.3</v>
      </c>
      <c r="Q74" s="2" t="s">
        <v>2</v>
      </c>
      <c r="R74" s="2" t="s">
        <v>1027</v>
      </c>
      <c r="S74" s="2" t="s">
        <v>2</v>
      </c>
      <c r="T74" s="2" t="s">
        <v>2</v>
      </c>
    </row>
    <row r="75" spans="1:20" ht="24" customHeight="1" x14ac:dyDescent="0.3">
      <c r="A75" s="2" t="s">
        <v>545</v>
      </c>
      <c r="B75" s="11"/>
      <c r="C75" s="11"/>
      <c r="D75" s="2" t="s">
        <v>4512</v>
      </c>
      <c r="E75" s="2" t="s">
        <v>3516</v>
      </c>
      <c r="F75" s="2" t="s">
        <v>4513</v>
      </c>
      <c r="G75" s="2" t="s">
        <v>480</v>
      </c>
      <c r="H75" s="2" t="s">
        <v>517</v>
      </c>
      <c r="I75" s="2" t="s">
        <v>551</v>
      </c>
      <c r="J75" s="4">
        <v>22</v>
      </c>
      <c r="K75" s="4">
        <v>7836</v>
      </c>
      <c r="L75" s="4">
        <f t="shared" si="1"/>
        <v>15.9</v>
      </c>
      <c r="M75" s="4">
        <v>15.9</v>
      </c>
      <c r="N75" s="4">
        <v>0</v>
      </c>
      <c r="O75" s="4">
        <v>0</v>
      </c>
      <c r="P75" s="4">
        <v>0</v>
      </c>
      <c r="Q75" s="2" t="s">
        <v>2</v>
      </c>
      <c r="R75" s="2" t="s">
        <v>4514</v>
      </c>
      <c r="S75" s="2" t="s">
        <v>2</v>
      </c>
      <c r="T75" s="2" t="s">
        <v>2</v>
      </c>
    </row>
    <row r="76" spans="1:20" ht="24" customHeight="1" x14ac:dyDescent="0.3">
      <c r="A76" s="2" t="s">
        <v>364</v>
      </c>
      <c r="B76" s="11"/>
      <c r="C76" s="11"/>
      <c r="D76" s="2" t="s">
        <v>4515</v>
      </c>
      <c r="E76" s="2" t="s">
        <v>925</v>
      </c>
      <c r="F76" s="2" t="s">
        <v>4516</v>
      </c>
      <c r="G76" s="2" t="s">
        <v>4517</v>
      </c>
      <c r="H76" s="2" t="s">
        <v>4248</v>
      </c>
      <c r="I76" s="2" t="s">
        <v>551</v>
      </c>
      <c r="J76" s="4">
        <v>70</v>
      </c>
      <c r="K76" s="4">
        <v>1852.6</v>
      </c>
      <c r="L76" s="4">
        <f t="shared" si="1"/>
        <v>0</v>
      </c>
      <c r="M76" s="4">
        <v>0</v>
      </c>
      <c r="N76" s="4">
        <v>0</v>
      </c>
      <c r="O76" s="4">
        <v>0</v>
      </c>
      <c r="P76" s="4">
        <v>0</v>
      </c>
      <c r="Q76" s="2" t="s">
        <v>4518</v>
      </c>
      <c r="R76" s="2" t="s">
        <v>4098</v>
      </c>
      <c r="S76" s="2" t="s">
        <v>2</v>
      </c>
      <c r="T76" s="2" t="s">
        <v>2</v>
      </c>
    </row>
    <row r="77" spans="1:20" ht="24" customHeight="1" x14ac:dyDescent="0.3">
      <c r="A77" s="2" t="s">
        <v>546</v>
      </c>
      <c r="B77" s="11"/>
      <c r="C77" s="11"/>
      <c r="D77" s="2" t="s">
        <v>4519</v>
      </c>
      <c r="E77" s="2" t="s">
        <v>4520</v>
      </c>
      <c r="F77" s="2" t="s">
        <v>4521</v>
      </c>
      <c r="G77" s="2" t="s">
        <v>483</v>
      </c>
      <c r="H77" s="2" t="s">
        <v>517</v>
      </c>
      <c r="I77" s="2" t="s">
        <v>551</v>
      </c>
      <c r="J77" s="4">
        <v>96</v>
      </c>
      <c r="K77" s="4">
        <v>13297</v>
      </c>
      <c r="L77" s="4">
        <f t="shared" si="1"/>
        <v>0</v>
      </c>
      <c r="M77" s="4">
        <v>0</v>
      </c>
      <c r="N77" s="4">
        <v>0</v>
      </c>
      <c r="O77" s="4">
        <v>0</v>
      </c>
      <c r="P77" s="4">
        <v>0</v>
      </c>
      <c r="Q77" s="2" t="s">
        <v>4522</v>
      </c>
      <c r="R77" s="2" t="s">
        <v>3611</v>
      </c>
      <c r="S77" s="2" t="s">
        <v>2</v>
      </c>
      <c r="T77" s="2" t="s">
        <v>2</v>
      </c>
    </row>
    <row r="78" spans="1:20" ht="24" customHeight="1" x14ac:dyDescent="0.3">
      <c r="A78" s="2" t="s">
        <v>547</v>
      </c>
      <c r="B78" s="11"/>
      <c r="C78" s="11"/>
      <c r="D78" s="2" t="s">
        <v>3420</v>
      </c>
      <c r="E78" s="2" t="s">
        <v>4523</v>
      </c>
      <c r="F78" s="2" t="s">
        <v>4524</v>
      </c>
      <c r="G78" s="2" t="s">
        <v>4525</v>
      </c>
      <c r="H78" s="2" t="s">
        <v>517</v>
      </c>
      <c r="I78" s="2" t="s">
        <v>551</v>
      </c>
      <c r="J78" s="4">
        <v>15</v>
      </c>
      <c r="K78" s="4">
        <v>2122.4</v>
      </c>
      <c r="L78" s="4">
        <f t="shared" si="1"/>
        <v>0</v>
      </c>
      <c r="M78" s="4">
        <v>0</v>
      </c>
      <c r="N78" s="4">
        <v>0</v>
      </c>
      <c r="O78" s="4">
        <v>0</v>
      </c>
      <c r="P78" s="4">
        <v>0</v>
      </c>
      <c r="Q78" s="2" t="s">
        <v>4526</v>
      </c>
      <c r="R78" s="2" t="s">
        <v>3498</v>
      </c>
      <c r="S78" s="2" t="s">
        <v>2</v>
      </c>
      <c r="T78" s="2" t="s">
        <v>2</v>
      </c>
    </row>
    <row r="79" spans="1:20" ht="24" customHeight="1" x14ac:dyDescent="0.3">
      <c r="A79" s="2" t="s">
        <v>548</v>
      </c>
      <c r="B79" s="11"/>
      <c r="C79" s="11"/>
      <c r="D79" s="2" t="s">
        <v>4527</v>
      </c>
      <c r="E79" s="2" t="s">
        <v>405</v>
      </c>
      <c r="F79" s="2" t="s">
        <v>4528</v>
      </c>
      <c r="G79" s="2" t="s">
        <v>4529</v>
      </c>
      <c r="H79" s="2" t="s">
        <v>195</v>
      </c>
      <c r="I79" s="2" t="s">
        <v>584</v>
      </c>
      <c r="J79" s="4">
        <v>60</v>
      </c>
      <c r="K79" s="4">
        <v>215.9</v>
      </c>
      <c r="L79" s="4">
        <f t="shared" si="1"/>
        <v>0</v>
      </c>
      <c r="M79" s="4">
        <v>0</v>
      </c>
      <c r="N79" s="4">
        <v>0</v>
      </c>
      <c r="O79" s="4">
        <v>0</v>
      </c>
      <c r="P79" s="4">
        <v>0</v>
      </c>
      <c r="Q79" s="2" t="s">
        <v>4530</v>
      </c>
      <c r="R79" s="2" t="s">
        <v>4531</v>
      </c>
      <c r="S79" s="2" t="s">
        <v>2</v>
      </c>
      <c r="T79" s="2" t="s">
        <v>2</v>
      </c>
    </row>
    <row r="80" spans="1:20" ht="24" customHeight="1" x14ac:dyDescent="0.3">
      <c r="A80" s="2" t="s">
        <v>549</v>
      </c>
      <c r="B80" s="11"/>
      <c r="C80" s="11"/>
      <c r="D80" s="2" t="s">
        <v>4532</v>
      </c>
      <c r="E80" s="2" t="s">
        <v>394</v>
      </c>
      <c r="F80" s="2" t="s">
        <v>4533</v>
      </c>
      <c r="G80" s="2" t="s">
        <v>481</v>
      </c>
      <c r="H80" s="2" t="s">
        <v>4534</v>
      </c>
      <c r="I80" s="2" t="s">
        <v>584</v>
      </c>
      <c r="J80" s="4">
        <v>12</v>
      </c>
      <c r="K80" s="4">
        <v>0</v>
      </c>
      <c r="L80" s="4">
        <f t="shared" ref="L80:L88" si="2">SUM(M80:P80)</f>
        <v>0</v>
      </c>
      <c r="M80" s="4">
        <v>0</v>
      </c>
      <c r="N80" s="4">
        <v>0</v>
      </c>
      <c r="O80" s="4">
        <v>0</v>
      </c>
      <c r="P80" s="4">
        <v>0</v>
      </c>
      <c r="Q80" s="2" t="s">
        <v>2</v>
      </c>
      <c r="R80" s="2" t="s">
        <v>1004</v>
      </c>
      <c r="S80" s="2" t="s">
        <v>2</v>
      </c>
      <c r="T80" s="2" t="s">
        <v>2</v>
      </c>
    </row>
    <row r="81" spans="1:20" ht="24" customHeight="1" x14ac:dyDescent="0.3">
      <c r="A81" s="2" t="s">
        <v>550</v>
      </c>
      <c r="B81" s="11"/>
      <c r="C81" s="11"/>
      <c r="D81" s="2" t="s">
        <v>3183</v>
      </c>
      <c r="E81" s="2" t="s">
        <v>4535</v>
      </c>
      <c r="F81" s="2" t="s">
        <v>4536</v>
      </c>
      <c r="G81" s="2" t="s">
        <v>4537</v>
      </c>
      <c r="H81" s="2" t="s">
        <v>517</v>
      </c>
      <c r="I81" s="2" t="s">
        <v>551</v>
      </c>
      <c r="J81" s="4">
        <v>116</v>
      </c>
      <c r="K81" s="4">
        <v>1631.6</v>
      </c>
      <c r="L81" s="4">
        <f t="shared" si="2"/>
        <v>0</v>
      </c>
      <c r="M81" s="4">
        <v>0</v>
      </c>
      <c r="N81" s="4">
        <v>0</v>
      </c>
      <c r="O81" s="4">
        <v>0</v>
      </c>
      <c r="P81" s="4">
        <v>0</v>
      </c>
      <c r="Q81" s="2" t="s">
        <v>3186</v>
      </c>
      <c r="R81" s="2" t="s">
        <v>1024</v>
      </c>
      <c r="S81" s="2" t="s">
        <v>2</v>
      </c>
      <c r="T81" s="2" t="s">
        <v>2</v>
      </c>
    </row>
    <row r="82" spans="1:20" ht="24" customHeight="1" x14ac:dyDescent="0.3">
      <c r="A82" s="2" t="s">
        <v>552</v>
      </c>
      <c r="B82" s="11"/>
      <c r="C82" s="11" t="s">
        <v>65</v>
      </c>
      <c r="D82" s="2" t="s">
        <v>4538</v>
      </c>
      <c r="E82" s="2" t="s">
        <v>4539</v>
      </c>
      <c r="F82" s="2" t="s">
        <v>4540</v>
      </c>
      <c r="G82" s="2" t="s">
        <v>274</v>
      </c>
      <c r="H82" s="2" t="s">
        <v>4322</v>
      </c>
      <c r="I82" s="2" t="s">
        <v>582</v>
      </c>
      <c r="J82" s="4">
        <v>3</v>
      </c>
      <c r="K82" s="4">
        <v>0</v>
      </c>
      <c r="L82" s="4">
        <f t="shared" si="2"/>
        <v>0</v>
      </c>
      <c r="M82" s="4">
        <v>0</v>
      </c>
      <c r="N82" s="4">
        <v>0</v>
      </c>
      <c r="O82" s="4">
        <v>0</v>
      </c>
      <c r="P82" s="4">
        <v>0</v>
      </c>
      <c r="Q82" s="2" t="s">
        <v>2</v>
      </c>
      <c r="R82" s="2" t="s">
        <v>161</v>
      </c>
      <c r="S82" s="2" t="s">
        <v>2</v>
      </c>
      <c r="T82" s="2" t="s">
        <v>2</v>
      </c>
    </row>
    <row r="83" spans="1:20" ht="24" customHeight="1" x14ac:dyDescent="0.3">
      <c r="A83" s="2" t="s">
        <v>553</v>
      </c>
      <c r="B83" s="11"/>
      <c r="C83" s="11"/>
      <c r="D83" s="2" t="s">
        <v>3465</v>
      </c>
      <c r="E83" s="2" t="s">
        <v>3466</v>
      </c>
      <c r="F83" s="2" t="s">
        <v>4541</v>
      </c>
      <c r="G83" s="2" t="s">
        <v>274</v>
      </c>
      <c r="H83" s="2" t="s">
        <v>4322</v>
      </c>
      <c r="I83" s="2" t="s">
        <v>582</v>
      </c>
      <c r="J83" s="4">
        <v>3</v>
      </c>
      <c r="K83" s="4">
        <v>920.7</v>
      </c>
      <c r="L83" s="4">
        <f t="shared" si="2"/>
        <v>0</v>
      </c>
      <c r="M83" s="4">
        <v>0</v>
      </c>
      <c r="N83" s="4">
        <v>0</v>
      </c>
      <c r="O83" s="4">
        <v>0</v>
      </c>
      <c r="P83" s="4">
        <v>0</v>
      </c>
      <c r="Q83" s="2" t="s">
        <v>4542</v>
      </c>
      <c r="R83" s="2" t="s">
        <v>3381</v>
      </c>
      <c r="S83" s="2" t="s">
        <v>2</v>
      </c>
      <c r="T83" s="2" t="s">
        <v>2</v>
      </c>
    </row>
    <row r="84" spans="1:20" ht="24" customHeight="1" x14ac:dyDescent="0.3">
      <c r="A84" s="2" t="s">
        <v>554</v>
      </c>
      <c r="B84" s="11"/>
      <c r="C84" s="11"/>
      <c r="D84" s="2" t="s">
        <v>4543</v>
      </c>
      <c r="E84" s="2" t="s">
        <v>4544</v>
      </c>
      <c r="F84" s="2" t="s">
        <v>4545</v>
      </c>
      <c r="G84" s="2" t="s">
        <v>274</v>
      </c>
      <c r="H84" s="2" t="s">
        <v>4322</v>
      </c>
      <c r="I84" s="2" t="s">
        <v>582</v>
      </c>
      <c r="J84" s="4">
        <v>3</v>
      </c>
      <c r="K84" s="4">
        <v>0</v>
      </c>
      <c r="L84" s="4">
        <f t="shared" si="2"/>
        <v>0</v>
      </c>
      <c r="M84" s="4">
        <v>0</v>
      </c>
      <c r="N84" s="4">
        <v>0</v>
      </c>
      <c r="O84" s="4">
        <v>0</v>
      </c>
      <c r="P84" s="4">
        <v>0</v>
      </c>
      <c r="Q84" s="2" t="s">
        <v>2</v>
      </c>
      <c r="R84" s="2" t="s">
        <v>3530</v>
      </c>
      <c r="S84" s="2" t="s">
        <v>2</v>
      </c>
      <c r="T84" s="2" t="s">
        <v>2</v>
      </c>
    </row>
    <row r="85" spans="1:20" ht="24" customHeight="1" x14ac:dyDescent="0.3">
      <c r="A85" s="2" t="s">
        <v>646</v>
      </c>
      <c r="B85" s="11"/>
      <c r="C85" s="11"/>
      <c r="D85" s="2" t="s">
        <v>4546</v>
      </c>
      <c r="E85" s="2" t="s">
        <v>3453</v>
      </c>
      <c r="F85" s="2" t="s">
        <v>4547</v>
      </c>
      <c r="G85" s="2" t="s">
        <v>274</v>
      </c>
      <c r="H85" s="2" t="s">
        <v>4322</v>
      </c>
      <c r="I85" s="2" t="s">
        <v>582</v>
      </c>
      <c r="J85" s="4">
        <v>3</v>
      </c>
      <c r="K85" s="4">
        <v>0</v>
      </c>
      <c r="L85" s="4">
        <f t="shared" si="2"/>
        <v>0</v>
      </c>
      <c r="M85" s="4">
        <v>0</v>
      </c>
      <c r="N85" s="4">
        <v>0</v>
      </c>
      <c r="O85" s="4">
        <v>0</v>
      </c>
      <c r="P85" s="4">
        <v>0</v>
      </c>
      <c r="Q85" s="2" t="s">
        <v>2</v>
      </c>
      <c r="R85" s="2" t="s">
        <v>4090</v>
      </c>
      <c r="S85" s="2" t="s">
        <v>2</v>
      </c>
      <c r="T85" s="2" t="s">
        <v>2</v>
      </c>
    </row>
    <row r="86" spans="1:20" ht="24" customHeight="1" x14ac:dyDescent="0.3">
      <c r="A86" s="2" t="s">
        <v>648</v>
      </c>
      <c r="B86" s="11"/>
      <c r="C86" s="11"/>
      <c r="D86" s="2" t="s">
        <v>4548</v>
      </c>
      <c r="E86" s="2" t="s">
        <v>4549</v>
      </c>
      <c r="F86" s="2" t="s">
        <v>4550</v>
      </c>
      <c r="G86" s="2" t="s">
        <v>274</v>
      </c>
      <c r="H86" s="2" t="s">
        <v>4322</v>
      </c>
      <c r="I86" s="2" t="s">
        <v>582</v>
      </c>
      <c r="J86" s="4">
        <v>15</v>
      </c>
      <c r="K86" s="4">
        <v>579.29999999999995</v>
      </c>
      <c r="L86" s="4">
        <f t="shared" si="2"/>
        <v>0</v>
      </c>
      <c r="M86" s="4">
        <v>0</v>
      </c>
      <c r="N86" s="4">
        <v>0</v>
      </c>
      <c r="O86" s="4">
        <v>0</v>
      </c>
      <c r="P86" s="4">
        <v>0</v>
      </c>
      <c r="Q86" s="2" t="s">
        <v>3310</v>
      </c>
      <c r="R86" s="2" t="s">
        <v>4078</v>
      </c>
      <c r="S86" s="2" t="s">
        <v>2</v>
      </c>
      <c r="T86" s="2" t="s">
        <v>2</v>
      </c>
    </row>
    <row r="87" spans="1:20" ht="24" customHeight="1" x14ac:dyDescent="0.3">
      <c r="A87" s="2" t="s">
        <v>649</v>
      </c>
      <c r="B87" s="11"/>
      <c r="C87" s="11"/>
      <c r="D87" s="2" t="s">
        <v>3602</v>
      </c>
      <c r="E87" s="2" t="s">
        <v>4551</v>
      </c>
      <c r="F87" s="2" t="s">
        <v>4552</v>
      </c>
      <c r="G87" s="2" t="s">
        <v>4553</v>
      </c>
      <c r="H87" s="2" t="s">
        <v>4322</v>
      </c>
      <c r="I87" s="2" t="s">
        <v>551</v>
      </c>
      <c r="J87" s="4">
        <v>50</v>
      </c>
      <c r="K87" s="4">
        <v>0</v>
      </c>
      <c r="L87" s="4">
        <f t="shared" si="2"/>
        <v>0</v>
      </c>
      <c r="M87" s="4">
        <v>0</v>
      </c>
      <c r="N87" s="4">
        <v>0</v>
      </c>
      <c r="O87" s="4">
        <v>0</v>
      </c>
      <c r="P87" s="4">
        <v>0</v>
      </c>
      <c r="Q87" s="2" t="s">
        <v>4554</v>
      </c>
      <c r="R87" s="2" t="s">
        <v>529</v>
      </c>
      <c r="S87" s="2" t="s">
        <v>2</v>
      </c>
      <c r="T87" s="2" t="s">
        <v>2</v>
      </c>
    </row>
    <row r="88" spans="1:20" ht="24" customHeight="1" x14ac:dyDescent="0.3">
      <c r="A88" s="2" t="s">
        <v>650</v>
      </c>
      <c r="B88" s="11"/>
      <c r="C88" s="11"/>
      <c r="D88" s="2" t="s">
        <v>4555</v>
      </c>
      <c r="E88" s="2" t="s">
        <v>4556</v>
      </c>
      <c r="F88" s="2" t="s">
        <v>4557</v>
      </c>
      <c r="G88" s="2" t="s">
        <v>274</v>
      </c>
      <c r="H88" s="2" t="s">
        <v>4322</v>
      </c>
      <c r="I88" s="2" t="s">
        <v>582</v>
      </c>
      <c r="J88" s="4">
        <v>5</v>
      </c>
      <c r="K88" s="4">
        <v>0</v>
      </c>
      <c r="L88" s="4">
        <f t="shared" si="2"/>
        <v>0</v>
      </c>
      <c r="M88" s="4">
        <v>0</v>
      </c>
      <c r="N88" s="4">
        <v>0</v>
      </c>
      <c r="O88" s="4">
        <v>0</v>
      </c>
      <c r="P88" s="4">
        <v>0</v>
      </c>
      <c r="Q88" s="2" t="s">
        <v>2</v>
      </c>
      <c r="R88" s="2" t="s">
        <v>436</v>
      </c>
      <c r="S88" s="2" t="s">
        <v>2</v>
      </c>
      <c r="T88" s="2" t="s">
        <v>2</v>
      </c>
    </row>
  </sheetData>
  <autoFilter ref="A5:T5" xr:uid="{00000000-0009-0000-0000-00000E000000}"/>
  <mergeCells count="27">
    <mergeCell ref="B6:B88"/>
    <mergeCell ref="C6"/>
    <mergeCell ref="C7:C9"/>
    <mergeCell ref="C10:C12"/>
    <mergeCell ref="C13"/>
    <mergeCell ref="C14"/>
    <mergeCell ref="C15:C35"/>
    <mergeCell ref="C36:C42"/>
    <mergeCell ref="C43:C45"/>
    <mergeCell ref="C46:C81"/>
    <mergeCell ref="C82:C88"/>
    <mergeCell ref="A1:T1"/>
    <mergeCell ref="A2:T2"/>
    <mergeCell ref="A4:A5"/>
    <mergeCell ref="B4:B5"/>
    <mergeCell ref="C4:C5"/>
    <mergeCell ref="D4:D5"/>
    <mergeCell ref="E4:E5"/>
    <mergeCell ref="F4:F5"/>
    <mergeCell ref="G4:G5"/>
    <mergeCell ref="H4:H5"/>
    <mergeCell ref="I4:I5"/>
    <mergeCell ref="L4:P4"/>
    <mergeCell ref="Q4:Q5"/>
    <mergeCell ref="R4:R5"/>
    <mergeCell ref="S4:S5"/>
    <mergeCell ref="T4:T5"/>
  </mergeCells>
  <phoneticPr fontId="8"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28"/>
  <sheetViews>
    <sheetView workbookViewId="0">
      <pane xSplit="5" ySplit="5" topLeftCell="F6" activePane="bottomRight" state="frozen"/>
      <selection pane="topRight"/>
      <selection pane="bottomLeft"/>
      <selection pane="bottomRight" activeCell="A6" sqref="A6"/>
    </sheetView>
  </sheetViews>
  <sheetFormatPr defaultRowHeight="16.5" x14ac:dyDescent="0.3"/>
  <cols>
    <col min="1" max="1" width="6" customWidth="1"/>
    <col min="2" max="3" width="12.625" customWidth="1"/>
    <col min="4" max="4" width="16.375" customWidth="1"/>
    <col min="5" max="5" width="14.875" customWidth="1"/>
    <col min="6" max="6" width="22.25" customWidth="1"/>
    <col min="7" max="7" width="20.375" customWidth="1"/>
    <col min="8" max="8" width="13.75" customWidth="1"/>
    <col min="9" max="9" width="14" customWidth="1"/>
    <col min="10" max="10" width="17.875" customWidth="1"/>
    <col min="11" max="12" width="14.875" customWidth="1"/>
    <col min="13" max="13" width="14" customWidth="1"/>
  </cols>
  <sheetData>
    <row r="1" spans="1:13" ht="18.75" x14ac:dyDescent="0.3">
      <c r="A1" s="8" t="s">
        <v>4242</v>
      </c>
      <c r="B1" s="8"/>
      <c r="C1" s="8"/>
      <c r="D1" s="8"/>
      <c r="E1" s="8"/>
      <c r="F1" s="8"/>
      <c r="G1" s="8"/>
      <c r="H1" s="8"/>
      <c r="I1" s="8"/>
      <c r="J1" s="8"/>
      <c r="K1" s="8"/>
      <c r="L1" s="8"/>
      <c r="M1" s="8"/>
    </row>
    <row r="2" spans="1:13" x14ac:dyDescent="0.3">
      <c r="A2" s="9" t="s">
        <v>4599</v>
      </c>
      <c r="B2" s="9"/>
      <c r="C2" s="9"/>
      <c r="D2" s="9"/>
      <c r="E2" s="9"/>
      <c r="F2" s="9"/>
      <c r="G2" s="9"/>
      <c r="H2" s="9"/>
      <c r="I2" s="9"/>
      <c r="J2" s="9"/>
      <c r="K2" s="9"/>
      <c r="L2" s="9"/>
      <c r="M2" s="9"/>
    </row>
    <row r="3" spans="1:13" x14ac:dyDescent="0.3">
      <c r="A3" s="5"/>
      <c r="B3" s="5"/>
      <c r="C3" s="5"/>
      <c r="D3" s="5"/>
      <c r="E3" s="5"/>
      <c r="F3" s="5"/>
      <c r="G3" s="5"/>
      <c r="H3" s="5"/>
      <c r="I3" s="5"/>
      <c r="J3" s="5"/>
      <c r="K3" s="5"/>
      <c r="L3" s="5"/>
      <c r="M3" s="5" t="s">
        <v>2</v>
      </c>
    </row>
    <row r="4" spans="1:13" ht="24" customHeight="1" x14ac:dyDescent="0.3">
      <c r="A4" s="10" t="s">
        <v>3</v>
      </c>
      <c r="B4" s="10" t="s">
        <v>4</v>
      </c>
      <c r="C4" s="10" t="s">
        <v>5</v>
      </c>
      <c r="D4" s="10" t="s">
        <v>382</v>
      </c>
      <c r="E4" s="10" t="s">
        <v>383</v>
      </c>
      <c r="F4" s="10" t="s">
        <v>7</v>
      </c>
      <c r="G4" s="10" t="s">
        <v>4600</v>
      </c>
      <c r="H4" s="1" t="s">
        <v>4601</v>
      </c>
      <c r="I4" s="1" t="s">
        <v>4602</v>
      </c>
      <c r="J4" s="10" t="s">
        <v>384</v>
      </c>
      <c r="K4" s="10" t="s">
        <v>18</v>
      </c>
      <c r="L4" s="10" t="s">
        <v>19</v>
      </c>
      <c r="M4" s="10" t="s">
        <v>22</v>
      </c>
    </row>
    <row r="5" spans="1:13" ht="24" customHeight="1" x14ac:dyDescent="0.3">
      <c r="A5" s="10"/>
      <c r="B5" s="10"/>
      <c r="C5" s="10"/>
      <c r="D5" s="10"/>
      <c r="E5" s="10"/>
      <c r="F5" s="10"/>
      <c r="G5" s="10"/>
      <c r="H5" s="1" t="s">
        <v>4603</v>
      </c>
      <c r="I5" s="1" t="s">
        <v>4604</v>
      </c>
      <c r="J5" s="10"/>
      <c r="K5" s="10"/>
      <c r="L5" s="10"/>
      <c r="M5" s="10"/>
    </row>
    <row r="6" spans="1:13" ht="24" customHeight="1" x14ac:dyDescent="0.3">
      <c r="A6" s="2" t="s">
        <v>4611</v>
      </c>
      <c r="B6" s="11" t="s">
        <v>55</v>
      </c>
      <c r="C6" s="11" t="s">
        <v>40</v>
      </c>
      <c r="D6" s="2" t="s">
        <v>2</v>
      </c>
      <c r="E6" s="2" t="s">
        <v>2</v>
      </c>
      <c r="F6" s="2" t="s">
        <v>2</v>
      </c>
      <c r="G6" s="2" t="s">
        <v>2</v>
      </c>
      <c r="H6" s="3">
        <v>243</v>
      </c>
      <c r="I6" s="4">
        <v>329.8</v>
      </c>
      <c r="J6" s="2" t="s">
        <v>2</v>
      </c>
      <c r="K6" s="2" t="s">
        <v>2</v>
      </c>
      <c r="L6" s="2" t="s">
        <v>2</v>
      </c>
      <c r="M6" s="2" t="s">
        <v>2</v>
      </c>
    </row>
    <row r="7" spans="1:13" ht="24" customHeight="1" x14ac:dyDescent="0.3">
      <c r="A7" s="2" t="s">
        <v>46</v>
      </c>
      <c r="B7" s="11"/>
      <c r="C7" s="11" t="s">
        <v>182</v>
      </c>
      <c r="D7" s="2" t="s">
        <v>4612</v>
      </c>
      <c r="E7" s="2" t="s">
        <v>4613</v>
      </c>
      <c r="F7" s="2" t="s">
        <v>4614</v>
      </c>
      <c r="G7" s="2" t="s">
        <v>574</v>
      </c>
      <c r="H7" s="3">
        <v>1</v>
      </c>
      <c r="I7" s="4">
        <v>1</v>
      </c>
      <c r="J7" s="2" t="s">
        <v>4615</v>
      </c>
      <c r="K7" s="2" t="s">
        <v>3586</v>
      </c>
      <c r="L7" s="2" t="s">
        <v>562</v>
      </c>
      <c r="M7" s="2" t="s">
        <v>2</v>
      </c>
    </row>
    <row r="8" spans="1:13" ht="24" customHeight="1" x14ac:dyDescent="0.3">
      <c r="A8" s="2" t="s">
        <v>49</v>
      </c>
      <c r="B8" s="11"/>
      <c r="C8" s="11"/>
      <c r="D8" s="2" t="s">
        <v>4616</v>
      </c>
      <c r="E8" s="2" t="s">
        <v>4617</v>
      </c>
      <c r="F8" s="2" t="s">
        <v>4618</v>
      </c>
      <c r="G8" s="2" t="s">
        <v>495</v>
      </c>
      <c r="H8" s="3">
        <v>6</v>
      </c>
      <c r="I8" s="4">
        <v>10.6</v>
      </c>
      <c r="J8" s="2" t="s">
        <v>4619</v>
      </c>
      <c r="K8" s="2" t="s">
        <v>4620</v>
      </c>
      <c r="L8" s="2" t="s">
        <v>2</v>
      </c>
      <c r="M8" s="2" t="s">
        <v>2</v>
      </c>
    </row>
    <row r="9" spans="1:13" ht="24" customHeight="1" x14ac:dyDescent="0.3">
      <c r="A9" s="2" t="s">
        <v>50</v>
      </c>
      <c r="B9" s="11"/>
      <c r="C9" s="11"/>
      <c r="D9" s="2" t="s">
        <v>4621</v>
      </c>
      <c r="E9" s="2" t="s">
        <v>4622</v>
      </c>
      <c r="F9" s="2" t="s">
        <v>4623</v>
      </c>
      <c r="G9" s="2" t="s">
        <v>574</v>
      </c>
      <c r="H9" s="3">
        <v>1</v>
      </c>
      <c r="I9" s="4">
        <v>1</v>
      </c>
      <c r="J9" s="2" t="s">
        <v>2</v>
      </c>
      <c r="K9" s="2" t="s">
        <v>3432</v>
      </c>
      <c r="L9" s="2" t="s">
        <v>2</v>
      </c>
      <c r="M9" s="2" t="s">
        <v>2</v>
      </c>
    </row>
    <row r="10" spans="1:13" ht="24" customHeight="1" x14ac:dyDescent="0.3">
      <c r="A10" s="2" t="s">
        <v>51</v>
      </c>
      <c r="B10" s="11"/>
      <c r="C10" s="11"/>
      <c r="D10" s="2" t="s">
        <v>4624</v>
      </c>
      <c r="E10" s="2" t="s">
        <v>1218</v>
      </c>
      <c r="F10" s="2" t="s">
        <v>4625</v>
      </c>
      <c r="G10" s="2" t="s">
        <v>4567</v>
      </c>
      <c r="H10" s="3">
        <v>2</v>
      </c>
      <c r="I10" s="4">
        <v>2</v>
      </c>
      <c r="J10" s="2" t="s">
        <v>2</v>
      </c>
      <c r="K10" s="2" t="s">
        <v>1221</v>
      </c>
      <c r="L10" s="2" t="s">
        <v>2</v>
      </c>
      <c r="M10" s="2" t="s">
        <v>2</v>
      </c>
    </row>
    <row r="11" spans="1:13" ht="24" customHeight="1" x14ac:dyDescent="0.3">
      <c r="A11" s="2" t="s">
        <v>52</v>
      </c>
      <c r="B11" s="11"/>
      <c r="C11" s="11" t="s">
        <v>193</v>
      </c>
      <c r="D11" s="2" t="s">
        <v>4271</v>
      </c>
      <c r="E11" s="2" t="s">
        <v>4272</v>
      </c>
      <c r="F11" s="2" t="s">
        <v>4626</v>
      </c>
      <c r="G11" s="2" t="s">
        <v>4627</v>
      </c>
      <c r="H11" s="3">
        <v>1</v>
      </c>
      <c r="I11" s="4">
        <v>2.2999999999999998</v>
      </c>
      <c r="J11" s="2" t="s">
        <v>4276</v>
      </c>
      <c r="K11" s="2" t="s">
        <v>3383</v>
      </c>
      <c r="L11" s="2" t="s">
        <v>2</v>
      </c>
      <c r="M11" s="2" t="s">
        <v>2</v>
      </c>
    </row>
    <row r="12" spans="1:13" ht="24" customHeight="1" x14ac:dyDescent="0.3">
      <c r="A12" s="2" t="s">
        <v>77</v>
      </c>
      <c r="B12" s="11"/>
      <c r="C12" s="11"/>
      <c r="D12" s="2" t="s">
        <v>4628</v>
      </c>
      <c r="E12" s="2" t="s">
        <v>3664</v>
      </c>
      <c r="F12" s="2" t="s">
        <v>1355</v>
      </c>
      <c r="G12" s="2" t="s">
        <v>4593</v>
      </c>
      <c r="H12" s="3">
        <v>3</v>
      </c>
      <c r="I12" s="4">
        <v>4.5</v>
      </c>
      <c r="J12" s="2" t="s">
        <v>297</v>
      </c>
      <c r="K12" s="2" t="s">
        <v>792</v>
      </c>
      <c r="L12" s="2" t="s">
        <v>2</v>
      </c>
      <c r="M12" s="2" t="s">
        <v>2</v>
      </c>
    </row>
    <row r="13" spans="1:13" ht="24" customHeight="1" x14ac:dyDescent="0.3">
      <c r="A13" s="2" t="s">
        <v>82</v>
      </c>
      <c r="B13" s="11"/>
      <c r="C13" s="11"/>
      <c r="D13" s="2" t="s">
        <v>4629</v>
      </c>
      <c r="E13" s="2" t="s">
        <v>4630</v>
      </c>
      <c r="F13" s="2" t="s">
        <v>4631</v>
      </c>
      <c r="G13" s="2" t="s">
        <v>4632</v>
      </c>
      <c r="H13" s="3">
        <v>3</v>
      </c>
      <c r="I13" s="4">
        <v>4.5</v>
      </c>
      <c r="J13" s="2" t="s">
        <v>297</v>
      </c>
      <c r="K13" s="2" t="s">
        <v>3521</v>
      </c>
      <c r="L13" s="2" t="s">
        <v>2</v>
      </c>
      <c r="M13" s="2" t="s">
        <v>2</v>
      </c>
    </row>
    <row r="14" spans="1:13" ht="24" customHeight="1" x14ac:dyDescent="0.3">
      <c r="A14" s="2" t="s">
        <v>87</v>
      </c>
      <c r="B14" s="11"/>
      <c r="C14" s="11"/>
      <c r="D14" s="2" t="s">
        <v>3472</v>
      </c>
      <c r="E14" s="2" t="s">
        <v>4561</v>
      </c>
      <c r="F14" s="2" t="s">
        <v>4633</v>
      </c>
      <c r="G14" s="2" t="s">
        <v>4245</v>
      </c>
      <c r="H14" s="3">
        <v>1</v>
      </c>
      <c r="I14" s="4">
        <v>1</v>
      </c>
      <c r="J14" s="2" t="s">
        <v>297</v>
      </c>
      <c r="K14" s="2" t="s">
        <v>1009</v>
      </c>
      <c r="L14" s="2" t="s">
        <v>2</v>
      </c>
      <c r="M14" s="2" t="s">
        <v>2</v>
      </c>
    </row>
    <row r="15" spans="1:13" ht="24" customHeight="1" x14ac:dyDescent="0.3">
      <c r="A15" s="2" t="s">
        <v>92</v>
      </c>
      <c r="B15" s="11"/>
      <c r="C15" s="11" t="s">
        <v>603</v>
      </c>
      <c r="D15" s="2" t="s">
        <v>4634</v>
      </c>
      <c r="E15" s="2" t="s">
        <v>405</v>
      </c>
      <c r="F15" s="2" t="s">
        <v>4635</v>
      </c>
      <c r="G15" s="2" t="s">
        <v>4636</v>
      </c>
      <c r="H15" s="3">
        <v>1</v>
      </c>
      <c r="I15" s="4">
        <v>2.1</v>
      </c>
      <c r="J15" s="2" t="s">
        <v>4637</v>
      </c>
      <c r="K15" s="2" t="s">
        <v>3579</v>
      </c>
      <c r="L15" s="2" t="s">
        <v>828</v>
      </c>
      <c r="M15" s="2" t="s">
        <v>980</v>
      </c>
    </row>
    <row r="16" spans="1:13" ht="24" customHeight="1" x14ac:dyDescent="0.3">
      <c r="A16" s="2" t="s">
        <v>96</v>
      </c>
      <c r="B16" s="11"/>
      <c r="C16" s="11"/>
      <c r="D16" s="2" t="s">
        <v>4638</v>
      </c>
      <c r="E16" s="2" t="s">
        <v>4639</v>
      </c>
      <c r="F16" s="2" t="s">
        <v>4640</v>
      </c>
      <c r="G16" s="2" t="s">
        <v>634</v>
      </c>
      <c r="H16" s="3">
        <v>1</v>
      </c>
      <c r="I16" s="4">
        <v>1</v>
      </c>
      <c r="J16" s="2" t="s">
        <v>2</v>
      </c>
      <c r="K16" s="2" t="s">
        <v>1004</v>
      </c>
      <c r="L16" s="2" t="s">
        <v>2</v>
      </c>
      <c r="M16" s="2" t="s">
        <v>2</v>
      </c>
    </row>
    <row r="17" spans="1:13" ht="24" customHeight="1" x14ac:dyDescent="0.3">
      <c r="A17" s="2" t="s">
        <v>102</v>
      </c>
      <c r="B17" s="11"/>
      <c r="C17" s="11"/>
      <c r="D17" s="2" t="s">
        <v>4610</v>
      </c>
      <c r="E17" s="2" t="s">
        <v>4641</v>
      </c>
      <c r="F17" s="2" t="s">
        <v>4642</v>
      </c>
      <c r="G17" s="2" t="s">
        <v>634</v>
      </c>
      <c r="H17" s="3">
        <v>1</v>
      </c>
      <c r="I17" s="4">
        <v>1</v>
      </c>
      <c r="J17" s="2" t="s">
        <v>2</v>
      </c>
      <c r="K17" s="2" t="s">
        <v>3626</v>
      </c>
      <c r="L17" s="2" t="s">
        <v>2</v>
      </c>
      <c r="M17" s="2" t="s">
        <v>2</v>
      </c>
    </row>
    <row r="18" spans="1:13" ht="24" customHeight="1" x14ac:dyDescent="0.3">
      <c r="A18" s="2" t="s">
        <v>104</v>
      </c>
      <c r="B18" s="11"/>
      <c r="C18" s="11"/>
      <c r="D18" s="2" t="s">
        <v>4643</v>
      </c>
      <c r="E18" s="2" t="s">
        <v>851</v>
      </c>
      <c r="F18" s="2" t="s">
        <v>4644</v>
      </c>
      <c r="G18" s="2" t="s">
        <v>634</v>
      </c>
      <c r="H18" s="3">
        <v>1</v>
      </c>
      <c r="I18" s="4">
        <v>1</v>
      </c>
      <c r="J18" s="2" t="s">
        <v>2</v>
      </c>
      <c r="K18" s="2" t="s">
        <v>3626</v>
      </c>
      <c r="L18" s="2" t="s">
        <v>2</v>
      </c>
      <c r="M18" s="2" t="s">
        <v>2</v>
      </c>
    </row>
    <row r="19" spans="1:13" ht="24" customHeight="1" x14ac:dyDescent="0.3">
      <c r="A19" s="2" t="s">
        <v>105</v>
      </c>
      <c r="B19" s="11"/>
      <c r="C19" s="11"/>
      <c r="D19" s="2" t="s">
        <v>4645</v>
      </c>
      <c r="E19" s="2" t="s">
        <v>1052</v>
      </c>
      <c r="F19" s="2" t="s">
        <v>4646</v>
      </c>
      <c r="G19" s="2" t="s">
        <v>634</v>
      </c>
      <c r="H19" s="3">
        <v>1</v>
      </c>
      <c r="I19" s="4">
        <v>1</v>
      </c>
      <c r="J19" s="2" t="s">
        <v>2</v>
      </c>
      <c r="K19" s="2" t="s">
        <v>3626</v>
      </c>
      <c r="L19" s="2" t="s">
        <v>2</v>
      </c>
      <c r="M19" s="2" t="s">
        <v>2</v>
      </c>
    </row>
    <row r="20" spans="1:13" ht="24" customHeight="1" x14ac:dyDescent="0.3">
      <c r="A20" s="2" t="s">
        <v>106</v>
      </c>
      <c r="B20" s="11"/>
      <c r="C20" s="11" t="s">
        <v>56</v>
      </c>
      <c r="D20" s="2" t="s">
        <v>4647</v>
      </c>
      <c r="E20" s="2" t="s">
        <v>4648</v>
      </c>
      <c r="F20" s="2" t="s">
        <v>4649</v>
      </c>
      <c r="G20" s="2" t="s">
        <v>4245</v>
      </c>
      <c r="H20" s="3">
        <v>1</v>
      </c>
      <c r="I20" s="4">
        <v>1</v>
      </c>
      <c r="J20" s="2" t="s">
        <v>2</v>
      </c>
      <c r="K20" s="2" t="s">
        <v>963</v>
      </c>
      <c r="L20" s="2" t="s">
        <v>2</v>
      </c>
      <c r="M20" s="2" t="s">
        <v>2</v>
      </c>
    </row>
    <row r="21" spans="1:13" ht="24" customHeight="1" x14ac:dyDescent="0.3">
      <c r="A21" s="2" t="s">
        <v>107</v>
      </c>
      <c r="B21" s="11"/>
      <c r="C21" s="11"/>
      <c r="D21" s="2" t="s">
        <v>1592</v>
      </c>
      <c r="E21" s="2" t="s">
        <v>1593</v>
      </c>
      <c r="F21" s="2" t="s">
        <v>4650</v>
      </c>
      <c r="G21" s="2" t="s">
        <v>4651</v>
      </c>
      <c r="H21" s="3">
        <v>2</v>
      </c>
      <c r="I21" s="4">
        <v>1</v>
      </c>
      <c r="J21" s="2" t="s">
        <v>1595</v>
      </c>
      <c r="K21" s="2" t="s">
        <v>3584</v>
      </c>
      <c r="L21" s="2" t="s">
        <v>2</v>
      </c>
      <c r="M21" s="2" t="s">
        <v>2</v>
      </c>
    </row>
    <row r="22" spans="1:13" ht="24" customHeight="1" x14ac:dyDescent="0.3">
      <c r="A22" s="2" t="s">
        <v>108</v>
      </c>
      <c r="B22" s="11"/>
      <c r="C22" s="11"/>
      <c r="D22" s="2" t="s">
        <v>4652</v>
      </c>
      <c r="E22" s="2" t="s">
        <v>1085</v>
      </c>
      <c r="F22" s="2" t="s">
        <v>4653</v>
      </c>
      <c r="G22" s="2" t="s">
        <v>4245</v>
      </c>
      <c r="H22" s="3">
        <v>1</v>
      </c>
      <c r="I22" s="4">
        <v>1</v>
      </c>
      <c r="J22" s="2" t="s">
        <v>2</v>
      </c>
      <c r="K22" s="2" t="s">
        <v>3393</v>
      </c>
      <c r="L22" s="2" t="s">
        <v>2</v>
      </c>
      <c r="M22" s="2" t="s">
        <v>2</v>
      </c>
    </row>
    <row r="23" spans="1:13" ht="24" customHeight="1" x14ac:dyDescent="0.3">
      <c r="A23" s="2" t="s">
        <v>109</v>
      </c>
      <c r="B23" s="11"/>
      <c r="C23" s="11"/>
      <c r="D23" s="2" t="s">
        <v>4654</v>
      </c>
      <c r="E23" s="2" t="s">
        <v>3528</v>
      </c>
      <c r="F23" s="2" t="s">
        <v>4655</v>
      </c>
      <c r="G23" s="2" t="s">
        <v>4656</v>
      </c>
      <c r="H23" s="3">
        <v>2</v>
      </c>
      <c r="I23" s="4">
        <v>1.3</v>
      </c>
      <c r="J23" s="2" t="s">
        <v>4657</v>
      </c>
      <c r="K23" s="2" t="s">
        <v>3533</v>
      </c>
      <c r="L23" s="2" t="s">
        <v>2</v>
      </c>
      <c r="M23" s="2" t="s">
        <v>2</v>
      </c>
    </row>
    <row r="24" spans="1:13" ht="24" customHeight="1" x14ac:dyDescent="0.3">
      <c r="A24" s="2" t="s">
        <v>110</v>
      </c>
      <c r="B24" s="11"/>
      <c r="C24" s="11"/>
      <c r="D24" s="2" t="s">
        <v>4658</v>
      </c>
      <c r="E24" s="2" t="s">
        <v>4659</v>
      </c>
      <c r="F24" s="2" t="s">
        <v>4660</v>
      </c>
      <c r="G24" s="2" t="s">
        <v>634</v>
      </c>
      <c r="H24" s="3">
        <v>1</v>
      </c>
      <c r="I24" s="4">
        <v>1.2</v>
      </c>
      <c r="J24" s="2" t="s">
        <v>4661</v>
      </c>
      <c r="K24" s="2" t="s">
        <v>4662</v>
      </c>
      <c r="L24" s="2" t="s">
        <v>2</v>
      </c>
      <c r="M24" s="2" t="s">
        <v>2</v>
      </c>
    </row>
    <row r="25" spans="1:13" ht="24" customHeight="1" x14ac:dyDescent="0.3">
      <c r="A25" s="2" t="s">
        <v>111</v>
      </c>
      <c r="B25" s="11"/>
      <c r="C25" s="11"/>
      <c r="D25" s="2" t="s">
        <v>3615</v>
      </c>
      <c r="E25" s="2" t="s">
        <v>4663</v>
      </c>
      <c r="F25" s="2" t="s">
        <v>4664</v>
      </c>
      <c r="G25" s="2" t="s">
        <v>4583</v>
      </c>
      <c r="H25" s="3">
        <v>1</v>
      </c>
      <c r="I25" s="4">
        <v>6.5</v>
      </c>
      <c r="J25" s="2" t="s">
        <v>2</v>
      </c>
      <c r="K25" s="2" t="s">
        <v>3456</v>
      </c>
      <c r="L25" s="2" t="s">
        <v>2</v>
      </c>
      <c r="M25" s="2" t="s">
        <v>2</v>
      </c>
    </row>
    <row r="26" spans="1:13" ht="24" customHeight="1" x14ac:dyDescent="0.3">
      <c r="A26" s="2" t="s">
        <v>112</v>
      </c>
      <c r="B26" s="11"/>
      <c r="C26" s="11" t="s">
        <v>211</v>
      </c>
      <c r="D26" s="2" t="s">
        <v>4291</v>
      </c>
      <c r="E26" s="2" t="s">
        <v>1765</v>
      </c>
      <c r="F26" s="2" t="s">
        <v>4292</v>
      </c>
      <c r="G26" s="2" t="s">
        <v>4565</v>
      </c>
      <c r="H26" s="3">
        <v>1</v>
      </c>
      <c r="I26" s="4">
        <v>1</v>
      </c>
      <c r="J26" s="2" t="s">
        <v>2</v>
      </c>
      <c r="K26" s="2" t="s">
        <v>3539</v>
      </c>
      <c r="L26" s="2" t="s">
        <v>2</v>
      </c>
      <c r="M26" s="2" t="s">
        <v>2</v>
      </c>
    </row>
    <row r="27" spans="1:13" ht="24" customHeight="1" x14ac:dyDescent="0.3">
      <c r="A27" s="2" t="s">
        <v>113</v>
      </c>
      <c r="B27" s="11"/>
      <c r="C27" s="11"/>
      <c r="D27" s="2" t="s">
        <v>4665</v>
      </c>
      <c r="E27" s="2" t="s">
        <v>1786</v>
      </c>
      <c r="F27" s="2" t="s">
        <v>4666</v>
      </c>
      <c r="G27" s="2" t="s">
        <v>4667</v>
      </c>
      <c r="H27" s="3">
        <v>4</v>
      </c>
      <c r="I27" s="4">
        <v>3.7</v>
      </c>
      <c r="J27" s="2" t="s">
        <v>2</v>
      </c>
      <c r="K27" s="2" t="s">
        <v>3390</v>
      </c>
      <c r="L27" s="2" t="s">
        <v>2</v>
      </c>
      <c r="M27" s="2" t="s">
        <v>510</v>
      </c>
    </row>
    <row r="28" spans="1:13" ht="24" customHeight="1" x14ac:dyDescent="0.3">
      <c r="A28" s="2" t="s">
        <v>114</v>
      </c>
      <c r="B28" s="11"/>
      <c r="C28" s="11"/>
      <c r="D28" s="2" t="s">
        <v>1776</v>
      </c>
      <c r="E28" s="2" t="s">
        <v>1777</v>
      </c>
      <c r="F28" s="2" t="s">
        <v>4668</v>
      </c>
      <c r="G28" s="2" t="s">
        <v>4249</v>
      </c>
      <c r="H28" s="3">
        <v>2</v>
      </c>
      <c r="I28" s="4">
        <v>2</v>
      </c>
      <c r="J28" s="2" t="s">
        <v>1779</v>
      </c>
      <c r="K28" s="2" t="s">
        <v>3382</v>
      </c>
      <c r="L28" s="2" t="s">
        <v>2</v>
      </c>
      <c r="M28" s="2" t="s">
        <v>2</v>
      </c>
    </row>
    <row r="29" spans="1:13" ht="24" customHeight="1" x14ac:dyDescent="0.3">
      <c r="A29" s="2" t="s">
        <v>115</v>
      </c>
      <c r="B29" s="11"/>
      <c r="C29" s="11"/>
      <c r="D29" s="2" t="s">
        <v>4302</v>
      </c>
      <c r="E29" s="2" t="s">
        <v>4303</v>
      </c>
      <c r="F29" s="2" t="s">
        <v>4669</v>
      </c>
      <c r="G29" s="2" t="s">
        <v>4249</v>
      </c>
      <c r="H29" s="3">
        <v>1</v>
      </c>
      <c r="I29" s="4">
        <v>1</v>
      </c>
      <c r="J29" s="2" t="s">
        <v>4670</v>
      </c>
      <c r="K29" s="2" t="s">
        <v>290</v>
      </c>
      <c r="L29" s="2" t="s">
        <v>2</v>
      </c>
      <c r="M29" s="2" t="s">
        <v>2</v>
      </c>
    </row>
    <row r="30" spans="1:13" ht="24" customHeight="1" x14ac:dyDescent="0.3">
      <c r="A30" s="2" t="s">
        <v>116</v>
      </c>
      <c r="B30" s="11"/>
      <c r="C30" s="11"/>
      <c r="D30" s="2" t="s">
        <v>4671</v>
      </c>
      <c r="E30" s="2" t="s">
        <v>3551</v>
      </c>
      <c r="F30" s="2" t="s">
        <v>4672</v>
      </c>
      <c r="G30" s="2" t="s">
        <v>4565</v>
      </c>
      <c r="H30" s="3">
        <v>2</v>
      </c>
      <c r="I30" s="4">
        <v>2</v>
      </c>
      <c r="J30" s="2" t="s">
        <v>2</v>
      </c>
      <c r="K30" s="2" t="s">
        <v>4079</v>
      </c>
      <c r="L30" s="2" t="s">
        <v>2</v>
      </c>
      <c r="M30" s="2" t="s">
        <v>2</v>
      </c>
    </row>
    <row r="31" spans="1:13" ht="24" customHeight="1" x14ac:dyDescent="0.3">
      <c r="A31" s="2" t="s">
        <v>117</v>
      </c>
      <c r="B31" s="11"/>
      <c r="C31" s="11"/>
      <c r="D31" s="2" t="s">
        <v>4673</v>
      </c>
      <c r="E31" s="2" t="s">
        <v>1067</v>
      </c>
      <c r="F31" s="2" t="s">
        <v>4674</v>
      </c>
      <c r="G31" s="2" t="s">
        <v>4249</v>
      </c>
      <c r="H31" s="3">
        <v>1</v>
      </c>
      <c r="I31" s="4">
        <v>1</v>
      </c>
      <c r="J31" s="2" t="s">
        <v>4675</v>
      </c>
      <c r="K31" s="2" t="s">
        <v>1005</v>
      </c>
      <c r="L31" s="2" t="s">
        <v>2</v>
      </c>
      <c r="M31" s="2" t="s">
        <v>2</v>
      </c>
    </row>
    <row r="32" spans="1:13" ht="24" customHeight="1" x14ac:dyDescent="0.3">
      <c r="A32" s="2" t="s">
        <v>118</v>
      </c>
      <c r="B32" s="11"/>
      <c r="C32" s="11"/>
      <c r="D32" s="2" t="s">
        <v>4323</v>
      </c>
      <c r="E32" s="2" t="s">
        <v>4324</v>
      </c>
      <c r="F32" s="2" t="s">
        <v>4325</v>
      </c>
      <c r="G32" s="2" t="s">
        <v>4676</v>
      </c>
      <c r="H32" s="3">
        <v>3</v>
      </c>
      <c r="I32" s="4">
        <v>3</v>
      </c>
      <c r="J32" s="2" t="s">
        <v>2</v>
      </c>
      <c r="K32" s="2" t="s">
        <v>972</v>
      </c>
      <c r="L32" s="2" t="s">
        <v>2</v>
      </c>
      <c r="M32" s="2" t="s">
        <v>2</v>
      </c>
    </row>
    <row r="33" spans="1:13" ht="24" customHeight="1" x14ac:dyDescent="0.3">
      <c r="A33" s="2" t="s">
        <v>119</v>
      </c>
      <c r="B33" s="11"/>
      <c r="C33" s="11"/>
      <c r="D33" s="2" t="s">
        <v>1859</v>
      </c>
      <c r="E33" s="2" t="s">
        <v>1860</v>
      </c>
      <c r="F33" s="2" t="s">
        <v>4677</v>
      </c>
      <c r="G33" s="2" t="s">
        <v>4678</v>
      </c>
      <c r="H33" s="3">
        <v>1</v>
      </c>
      <c r="I33" s="4">
        <v>1</v>
      </c>
      <c r="J33" s="2" t="s">
        <v>4301</v>
      </c>
      <c r="K33" s="2" t="s">
        <v>476</v>
      </c>
      <c r="L33" s="2" t="s">
        <v>2</v>
      </c>
      <c r="M33" s="2" t="s">
        <v>2</v>
      </c>
    </row>
    <row r="34" spans="1:13" ht="24" customHeight="1" x14ac:dyDescent="0.3">
      <c r="A34" s="2" t="s">
        <v>120</v>
      </c>
      <c r="B34" s="11"/>
      <c r="C34" s="11"/>
      <c r="D34" s="2" t="s">
        <v>4679</v>
      </c>
      <c r="E34" s="2" t="s">
        <v>1714</v>
      </c>
      <c r="F34" s="2" t="s">
        <v>4680</v>
      </c>
      <c r="G34" s="2" t="s">
        <v>4605</v>
      </c>
      <c r="H34" s="3">
        <v>1</v>
      </c>
      <c r="I34" s="4">
        <v>1</v>
      </c>
      <c r="J34" s="2" t="s">
        <v>1716</v>
      </c>
      <c r="K34" s="2" t="s">
        <v>637</v>
      </c>
      <c r="L34" s="2" t="s">
        <v>2</v>
      </c>
      <c r="M34" s="2" t="s">
        <v>2</v>
      </c>
    </row>
    <row r="35" spans="1:13" ht="24" customHeight="1" x14ac:dyDescent="0.3">
      <c r="A35" s="2" t="s">
        <v>123</v>
      </c>
      <c r="B35" s="11"/>
      <c r="C35" s="11"/>
      <c r="D35" s="2" t="s">
        <v>4681</v>
      </c>
      <c r="E35" s="2" t="s">
        <v>4682</v>
      </c>
      <c r="F35" s="2" t="s">
        <v>4683</v>
      </c>
      <c r="G35" s="2" t="s">
        <v>4684</v>
      </c>
      <c r="H35" s="3">
        <v>1</v>
      </c>
      <c r="I35" s="4">
        <v>1</v>
      </c>
      <c r="J35" s="2" t="s">
        <v>2</v>
      </c>
      <c r="K35" s="2" t="s">
        <v>1066</v>
      </c>
      <c r="L35" s="2" t="s">
        <v>2</v>
      </c>
      <c r="M35" s="2" t="s">
        <v>2</v>
      </c>
    </row>
    <row r="36" spans="1:13" ht="24" customHeight="1" x14ac:dyDescent="0.3">
      <c r="A36" s="2" t="s">
        <v>135</v>
      </c>
      <c r="B36" s="11"/>
      <c r="C36" s="11"/>
      <c r="D36" s="2" t="s">
        <v>4685</v>
      </c>
      <c r="E36" s="2" t="s">
        <v>4686</v>
      </c>
      <c r="F36" s="2" t="s">
        <v>4687</v>
      </c>
      <c r="G36" s="2" t="s">
        <v>574</v>
      </c>
      <c r="H36" s="3">
        <v>2</v>
      </c>
      <c r="I36" s="4">
        <v>2</v>
      </c>
      <c r="J36" s="2" t="s">
        <v>2</v>
      </c>
      <c r="K36" s="2" t="s">
        <v>4590</v>
      </c>
      <c r="L36" s="2" t="s">
        <v>2</v>
      </c>
      <c r="M36" s="2" t="s">
        <v>2</v>
      </c>
    </row>
    <row r="37" spans="1:13" ht="24" customHeight="1" x14ac:dyDescent="0.3">
      <c r="A37" s="2" t="s">
        <v>136</v>
      </c>
      <c r="B37" s="11"/>
      <c r="C37" s="11"/>
      <c r="D37" s="2" t="s">
        <v>4688</v>
      </c>
      <c r="E37" s="2" t="s">
        <v>4689</v>
      </c>
      <c r="F37" s="2" t="s">
        <v>4690</v>
      </c>
      <c r="G37" s="2" t="s">
        <v>4605</v>
      </c>
      <c r="H37" s="3">
        <v>1</v>
      </c>
      <c r="I37" s="4">
        <v>1</v>
      </c>
      <c r="J37" s="2" t="s">
        <v>4691</v>
      </c>
      <c r="K37" s="2" t="s">
        <v>3487</v>
      </c>
      <c r="L37" s="2" t="s">
        <v>2</v>
      </c>
      <c r="M37" s="2" t="s">
        <v>2</v>
      </c>
    </row>
    <row r="38" spans="1:13" ht="24" customHeight="1" x14ac:dyDescent="0.3">
      <c r="A38" s="2" t="s">
        <v>137</v>
      </c>
      <c r="B38" s="11"/>
      <c r="C38" s="11"/>
      <c r="D38" s="2" t="s">
        <v>4692</v>
      </c>
      <c r="E38" s="2" t="s">
        <v>4693</v>
      </c>
      <c r="F38" s="2" t="s">
        <v>4694</v>
      </c>
      <c r="G38" s="2" t="s">
        <v>4684</v>
      </c>
      <c r="H38" s="3">
        <v>1</v>
      </c>
      <c r="I38" s="4">
        <v>1</v>
      </c>
      <c r="J38" s="2" t="s">
        <v>297</v>
      </c>
      <c r="K38" s="2" t="s">
        <v>3457</v>
      </c>
      <c r="L38" s="2" t="s">
        <v>2</v>
      </c>
      <c r="M38" s="2" t="s">
        <v>2</v>
      </c>
    </row>
    <row r="39" spans="1:13" ht="24" customHeight="1" x14ac:dyDescent="0.3">
      <c r="A39" s="2" t="s">
        <v>138</v>
      </c>
      <c r="B39" s="11"/>
      <c r="C39" s="11"/>
      <c r="D39" s="2" t="s">
        <v>4695</v>
      </c>
      <c r="E39" s="2" t="s">
        <v>4696</v>
      </c>
      <c r="F39" s="2" t="s">
        <v>4697</v>
      </c>
      <c r="G39" s="2" t="s">
        <v>4684</v>
      </c>
      <c r="H39" s="3">
        <v>1</v>
      </c>
      <c r="I39" s="4">
        <v>1</v>
      </c>
      <c r="J39" s="2" t="s">
        <v>2</v>
      </c>
      <c r="K39" s="2" t="s">
        <v>3398</v>
      </c>
      <c r="L39" s="2" t="s">
        <v>2</v>
      </c>
      <c r="M39" s="2" t="s">
        <v>2</v>
      </c>
    </row>
    <row r="40" spans="1:13" ht="24" customHeight="1" x14ac:dyDescent="0.3">
      <c r="A40" s="2" t="s">
        <v>139</v>
      </c>
      <c r="B40" s="11"/>
      <c r="C40" s="11"/>
      <c r="D40" s="2" t="s">
        <v>4698</v>
      </c>
      <c r="E40" s="2" t="s">
        <v>4699</v>
      </c>
      <c r="F40" s="2" t="s">
        <v>4700</v>
      </c>
      <c r="G40" s="2" t="s">
        <v>4684</v>
      </c>
      <c r="H40" s="3">
        <v>1</v>
      </c>
      <c r="I40" s="4">
        <v>1</v>
      </c>
      <c r="J40" s="2" t="s">
        <v>2</v>
      </c>
      <c r="K40" s="2" t="s">
        <v>3380</v>
      </c>
      <c r="L40" s="2" t="s">
        <v>2</v>
      </c>
      <c r="M40" s="2" t="s">
        <v>2</v>
      </c>
    </row>
    <row r="41" spans="1:13" ht="24" customHeight="1" x14ac:dyDescent="0.3">
      <c r="A41" s="2" t="s">
        <v>140</v>
      </c>
      <c r="B41" s="11"/>
      <c r="C41" s="11"/>
      <c r="D41" s="2" t="s">
        <v>4701</v>
      </c>
      <c r="E41" s="2" t="s">
        <v>4702</v>
      </c>
      <c r="F41" s="2" t="s">
        <v>4703</v>
      </c>
      <c r="G41" s="2" t="s">
        <v>4246</v>
      </c>
      <c r="H41" s="3">
        <v>2</v>
      </c>
      <c r="I41" s="4">
        <v>2</v>
      </c>
      <c r="J41" s="2" t="s">
        <v>2</v>
      </c>
      <c r="K41" s="2" t="s">
        <v>3485</v>
      </c>
      <c r="L41" s="2" t="s">
        <v>2</v>
      </c>
      <c r="M41" s="2" t="s">
        <v>2</v>
      </c>
    </row>
    <row r="42" spans="1:13" ht="24" customHeight="1" x14ac:dyDescent="0.3">
      <c r="A42" s="2" t="s">
        <v>141</v>
      </c>
      <c r="B42" s="11"/>
      <c r="C42" s="11"/>
      <c r="D42" s="2" t="s">
        <v>2191</v>
      </c>
      <c r="E42" s="2" t="s">
        <v>2192</v>
      </c>
      <c r="F42" s="2" t="s">
        <v>4704</v>
      </c>
      <c r="G42" s="2" t="s">
        <v>528</v>
      </c>
      <c r="H42" s="3">
        <v>1</v>
      </c>
      <c r="I42" s="4">
        <v>1</v>
      </c>
      <c r="J42" s="2" t="s">
        <v>2194</v>
      </c>
      <c r="K42" s="2" t="s">
        <v>3449</v>
      </c>
      <c r="L42" s="2" t="s">
        <v>2</v>
      </c>
      <c r="M42" s="2" t="s">
        <v>2</v>
      </c>
    </row>
    <row r="43" spans="1:13" ht="24" customHeight="1" x14ac:dyDescent="0.3">
      <c r="A43" s="2" t="s">
        <v>142</v>
      </c>
      <c r="B43" s="11"/>
      <c r="C43" s="11"/>
      <c r="D43" s="2" t="s">
        <v>1095</v>
      </c>
      <c r="E43" s="2" t="s">
        <v>1824</v>
      </c>
      <c r="F43" s="2" t="s">
        <v>4705</v>
      </c>
      <c r="G43" s="2" t="s">
        <v>574</v>
      </c>
      <c r="H43" s="3">
        <v>1</v>
      </c>
      <c r="I43" s="4">
        <v>1</v>
      </c>
      <c r="J43" s="2" t="s">
        <v>1826</v>
      </c>
      <c r="K43" s="2" t="s">
        <v>3658</v>
      </c>
      <c r="L43" s="2" t="s">
        <v>2</v>
      </c>
      <c r="M43" s="2" t="s">
        <v>2</v>
      </c>
    </row>
    <row r="44" spans="1:13" ht="24" customHeight="1" x14ac:dyDescent="0.3">
      <c r="A44" s="2" t="s">
        <v>143</v>
      </c>
      <c r="B44" s="11"/>
      <c r="C44" s="11"/>
      <c r="D44" s="2" t="s">
        <v>3572</v>
      </c>
      <c r="E44" s="2" t="s">
        <v>4706</v>
      </c>
      <c r="F44" s="2" t="s">
        <v>4707</v>
      </c>
      <c r="G44" s="2" t="s">
        <v>4559</v>
      </c>
      <c r="H44" s="3">
        <v>1</v>
      </c>
      <c r="I44" s="4">
        <v>1</v>
      </c>
      <c r="J44" s="2" t="s">
        <v>2</v>
      </c>
      <c r="K44" s="2" t="s">
        <v>3646</v>
      </c>
      <c r="L44" s="2" t="s">
        <v>2</v>
      </c>
      <c r="M44" s="2" t="s">
        <v>2</v>
      </c>
    </row>
    <row r="45" spans="1:13" ht="24" customHeight="1" x14ac:dyDescent="0.3">
      <c r="A45" s="2" t="s">
        <v>144</v>
      </c>
      <c r="B45" s="11"/>
      <c r="C45" s="11"/>
      <c r="D45" s="2" t="s">
        <v>4708</v>
      </c>
      <c r="E45" s="2" t="s">
        <v>4709</v>
      </c>
      <c r="F45" s="2" t="s">
        <v>4710</v>
      </c>
      <c r="G45" s="2" t="s">
        <v>4711</v>
      </c>
      <c r="H45" s="3">
        <v>1</v>
      </c>
      <c r="I45" s="4">
        <v>1</v>
      </c>
      <c r="J45" s="2" t="s">
        <v>2</v>
      </c>
      <c r="K45" s="2" t="s">
        <v>3547</v>
      </c>
      <c r="L45" s="2" t="s">
        <v>2</v>
      </c>
      <c r="M45" s="2" t="s">
        <v>2</v>
      </c>
    </row>
    <row r="46" spans="1:13" ht="24" customHeight="1" x14ac:dyDescent="0.3">
      <c r="A46" s="2" t="s">
        <v>145</v>
      </c>
      <c r="B46" s="11"/>
      <c r="C46" s="11"/>
      <c r="D46" s="2" t="s">
        <v>4712</v>
      </c>
      <c r="E46" s="2" t="s">
        <v>4713</v>
      </c>
      <c r="F46" s="2" t="s">
        <v>4714</v>
      </c>
      <c r="G46" s="2" t="s">
        <v>4684</v>
      </c>
      <c r="H46" s="3">
        <v>1</v>
      </c>
      <c r="I46" s="4">
        <v>1</v>
      </c>
      <c r="J46" s="2" t="s">
        <v>4715</v>
      </c>
      <c r="K46" s="2" t="s">
        <v>3557</v>
      </c>
      <c r="L46" s="2" t="s">
        <v>2</v>
      </c>
      <c r="M46" s="2" t="s">
        <v>2</v>
      </c>
    </row>
    <row r="47" spans="1:13" ht="24" customHeight="1" x14ac:dyDescent="0.3">
      <c r="A47" s="2" t="s">
        <v>146</v>
      </c>
      <c r="B47" s="11"/>
      <c r="C47" s="11"/>
      <c r="D47" s="2" t="s">
        <v>4716</v>
      </c>
      <c r="E47" s="2" t="s">
        <v>1098</v>
      </c>
      <c r="F47" s="2" t="s">
        <v>4717</v>
      </c>
      <c r="G47" s="2" t="s">
        <v>634</v>
      </c>
      <c r="H47" s="3">
        <v>1</v>
      </c>
      <c r="I47" s="4">
        <v>1</v>
      </c>
      <c r="J47" s="2" t="s">
        <v>2</v>
      </c>
      <c r="K47" s="2" t="s">
        <v>3408</v>
      </c>
      <c r="L47" s="2" t="s">
        <v>2</v>
      </c>
      <c r="M47" s="2" t="s">
        <v>2</v>
      </c>
    </row>
    <row r="48" spans="1:13" ht="24" customHeight="1" x14ac:dyDescent="0.3">
      <c r="A48" s="2" t="s">
        <v>147</v>
      </c>
      <c r="B48" s="11"/>
      <c r="C48" s="11"/>
      <c r="D48" s="2" t="s">
        <v>4718</v>
      </c>
      <c r="E48" s="2" t="s">
        <v>4719</v>
      </c>
      <c r="F48" s="2" t="s">
        <v>4720</v>
      </c>
      <c r="G48" s="2" t="s">
        <v>4684</v>
      </c>
      <c r="H48" s="3">
        <v>1</v>
      </c>
      <c r="I48" s="4">
        <v>1</v>
      </c>
      <c r="J48" s="2" t="s">
        <v>2</v>
      </c>
      <c r="K48" s="2" t="s">
        <v>3266</v>
      </c>
      <c r="L48" s="2" t="s">
        <v>2</v>
      </c>
      <c r="M48" s="2" t="s">
        <v>2</v>
      </c>
    </row>
    <row r="49" spans="1:13" ht="24" customHeight="1" x14ac:dyDescent="0.3">
      <c r="A49" s="2" t="s">
        <v>148</v>
      </c>
      <c r="B49" s="11"/>
      <c r="C49" s="11"/>
      <c r="D49" s="2" t="s">
        <v>4340</v>
      </c>
      <c r="E49" s="2" t="s">
        <v>4341</v>
      </c>
      <c r="F49" s="2" t="s">
        <v>4721</v>
      </c>
      <c r="G49" s="2" t="s">
        <v>4249</v>
      </c>
      <c r="H49" s="3">
        <v>2</v>
      </c>
      <c r="I49" s="4">
        <v>4.5</v>
      </c>
      <c r="J49" s="2" t="s">
        <v>2</v>
      </c>
      <c r="K49" s="2" t="s">
        <v>662</v>
      </c>
      <c r="L49" s="2" t="s">
        <v>2</v>
      </c>
      <c r="M49" s="2" t="s">
        <v>2</v>
      </c>
    </row>
    <row r="50" spans="1:13" ht="24" customHeight="1" x14ac:dyDescent="0.3">
      <c r="A50" s="2" t="s">
        <v>149</v>
      </c>
      <c r="B50" s="11"/>
      <c r="C50" s="11"/>
      <c r="D50" s="2" t="s">
        <v>4722</v>
      </c>
      <c r="E50" s="2" t="s">
        <v>4560</v>
      </c>
      <c r="F50" s="2" t="s">
        <v>4723</v>
      </c>
      <c r="G50" s="2" t="s">
        <v>574</v>
      </c>
      <c r="H50" s="3">
        <v>2</v>
      </c>
      <c r="I50" s="4">
        <v>2</v>
      </c>
      <c r="J50" s="2" t="s">
        <v>2</v>
      </c>
      <c r="K50" s="2" t="s">
        <v>484</v>
      </c>
      <c r="L50" s="2" t="s">
        <v>2</v>
      </c>
      <c r="M50" s="2" t="s">
        <v>2</v>
      </c>
    </row>
    <row r="51" spans="1:13" ht="24" customHeight="1" x14ac:dyDescent="0.3">
      <c r="A51" s="2" t="s">
        <v>150</v>
      </c>
      <c r="B51" s="11"/>
      <c r="C51" s="11"/>
      <c r="D51" s="2" t="s">
        <v>4724</v>
      </c>
      <c r="E51" s="2" t="s">
        <v>4725</v>
      </c>
      <c r="F51" s="2" t="s">
        <v>4726</v>
      </c>
      <c r="G51" s="2" t="s">
        <v>4684</v>
      </c>
      <c r="H51" s="3">
        <v>1</v>
      </c>
      <c r="I51" s="4">
        <v>1</v>
      </c>
      <c r="J51" s="2" t="s">
        <v>2</v>
      </c>
      <c r="K51" s="2" t="s">
        <v>3612</v>
      </c>
      <c r="L51" s="2" t="s">
        <v>2</v>
      </c>
      <c r="M51" s="2" t="s">
        <v>2</v>
      </c>
    </row>
    <row r="52" spans="1:13" ht="24" customHeight="1" x14ac:dyDescent="0.3">
      <c r="A52" s="2" t="s">
        <v>151</v>
      </c>
      <c r="B52" s="11"/>
      <c r="C52" s="11"/>
      <c r="D52" s="2" t="s">
        <v>4727</v>
      </c>
      <c r="E52" s="2" t="s">
        <v>3395</v>
      </c>
      <c r="F52" s="2" t="s">
        <v>4728</v>
      </c>
      <c r="G52" s="2" t="s">
        <v>4684</v>
      </c>
      <c r="H52" s="3">
        <v>1</v>
      </c>
      <c r="I52" s="4">
        <v>1</v>
      </c>
      <c r="J52" s="2" t="s">
        <v>2</v>
      </c>
      <c r="K52" s="2" t="s">
        <v>3612</v>
      </c>
      <c r="L52" s="2" t="s">
        <v>2</v>
      </c>
      <c r="M52" s="2" t="s">
        <v>2</v>
      </c>
    </row>
    <row r="53" spans="1:13" ht="24" customHeight="1" x14ac:dyDescent="0.3">
      <c r="A53" s="2" t="s">
        <v>152</v>
      </c>
      <c r="B53" s="11"/>
      <c r="C53" s="11"/>
      <c r="D53" s="2" t="s">
        <v>4729</v>
      </c>
      <c r="E53" s="2" t="s">
        <v>1082</v>
      </c>
      <c r="F53" s="2" t="s">
        <v>4730</v>
      </c>
      <c r="G53" s="2" t="s">
        <v>4684</v>
      </c>
      <c r="H53" s="3">
        <v>1</v>
      </c>
      <c r="I53" s="4">
        <v>1</v>
      </c>
      <c r="J53" s="2" t="s">
        <v>2</v>
      </c>
      <c r="K53" s="2" t="s">
        <v>3612</v>
      </c>
      <c r="L53" s="2" t="s">
        <v>2</v>
      </c>
      <c r="M53" s="2" t="s">
        <v>2</v>
      </c>
    </row>
    <row r="54" spans="1:13" ht="24" customHeight="1" x14ac:dyDescent="0.3">
      <c r="A54" s="2" t="s">
        <v>153</v>
      </c>
      <c r="B54" s="11"/>
      <c r="C54" s="11"/>
      <c r="D54" s="2" t="s">
        <v>4607</v>
      </c>
      <c r="E54" s="2" t="s">
        <v>3504</v>
      </c>
      <c r="F54" s="2" t="s">
        <v>4731</v>
      </c>
      <c r="G54" s="2" t="s">
        <v>4684</v>
      </c>
      <c r="H54" s="3">
        <v>1</v>
      </c>
      <c r="I54" s="4">
        <v>1</v>
      </c>
      <c r="J54" s="2" t="s">
        <v>2</v>
      </c>
      <c r="K54" s="2" t="s">
        <v>3612</v>
      </c>
      <c r="L54" s="2" t="s">
        <v>2</v>
      </c>
      <c r="M54" s="2" t="s">
        <v>2</v>
      </c>
    </row>
    <row r="55" spans="1:13" ht="24" customHeight="1" x14ac:dyDescent="0.3">
      <c r="A55" s="2" t="s">
        <v>155</v>
      </c>
      <c r="B55" s="11"/>
      <c r="C55" s="11"/>
      <c r="D55" s="2" t="s">
        <v>4732</v>
      </c>
      <c r="E55" s="2" t="s">
        <v>3532</v>
      </c>
      <c r="F55" s="2" t="s">
        <v>4733</v>
      </c>
      <c r="G55" s="2" t="s">
        <v>4684</v>
      </c>
      <c r="H55" s="3">
        <v>1</v>
      </c>
      <c r="I55" s="4">
        <v>1</v>
      </c>
      <c r="J55" s="2" t="s">
        <v>2</v>
      </c>
      <c r="K55" s="2" t="s">
        <v>3612</v>
      </c>
      <c r="L55" s="2" t="s">
        <v>2</v>
      </c>
      <c r="M55" s="2" t="s">
        <v>2</v>
      </c>
    </row>
    <row r="56" spans="1:13" ht="24" customHeight="1" x14ac:dyDescent="0.3">
      <c r="A56" s="2" t="s">
        <v>362</v>
      </c>
      <c r="B56" s="11"/>
      <c r="C56" s="11"/>
      <c r="D56" s="2" t="s">
        <v>4734</v>
      </c>
      <c r="E56" s="2" t="s">
        <v>4735</v>
      </c>
      <c r="F56" s="2" t="s">
        <v>4736</v>
      </c>
      <c r="G56" s="2" t="s">
        <v>4684</v>
      </c>
      <c r="H56" s="3">
        <v>1</v>
      </c>
      <c r="I56" s="4">
        <v>1</v>
      </c>
      <c r="J56" s="2" t="s">
        <v>2</v>
      </c>
      <c r="K56" s="2" t="s">
        <v>3612</v>
      </c>
      <c r="L56" s="2" t="s">
        <v>2</v>
      </c>
      <c r="M56" s="2" t="s">
        <v>2</v>
      </c>
    </row>
    <row r="57" spans="1:13" ht="24" customHeight="1" x14ac:dyDescent="0.3">
      <c r="A57" s="2" t="s">
        <v>370</v>
      </c>
      <c r="B57" s="11"/>
      <c r="C57" s="11"/>
      <c r="D57" s="2" t="s">
        <v>4737</v>
      </c>
      <c r="E57" s="2" t="s">
        <v>4738</v>
      </c>
      <c r="F57" s="2" t="s">
        <v>4739</v>
      </c>
      <c r="G57" s="2" t="s">
        <v>4684</v>
      </c>
      <c r="H57" s="3">
        <v>1</v>
      </c>
      <c r="I57" s="4">
        <v>1</v>
      </c>
      <c r="J57" s="2" t="s">
        <v>2</v>
      </c>
      <c r="K57" s="2" t="s">
        <v>3612</v>
      </c>
      <c r="L57" s="2" t="s">
        <v>2</v>
      </c>
      <c r="M57" s="2" t="s">
        <v>2</v>
      </c>
    </row>
    <row r="58" spans="1:13" ht="24" customHeight="1" x14ac:dyDescent="0.3">
      <c r="A58" s="2" t="s">
        <v>371</v>
      </c>
      <c r="B58" s="11"/>
      <c r="C58" s="11"/>
      <c r="D58" s="2" t="s">
        <v>4740</v>
      </c>
      <c r="E58" s="2" t="s">
        <v>4741</v>
      </c>
      <c r="F58" s="2" t="s">
        <v>4742</v>
      </c>
      <c r="G58" s="2" t="s">
        <v>4684</v>
      </c>
      <c r="H58" s="3">
        <v>1</v>
      </c>
      <c r="I58" s="4">
        <v>1</v>
      </c>
      <c r="J58" s="2" t="s">
        <v>2</v>
      </c>
      <c r="K58" s="2" t="s">
        <v>3612</v>
      </c>
      <c r="L58" s="2" t="s">
        <v>2</v>
      </c>
      <c r="M58" s="2" t="s">
        <v>2</v>
      </c>
    </row>
    <row r="59" spans="1:13" ht="24" customHeight="1" x14ac:dyDescent="0.3">
      <c r="A59" s="2" t="s">
        <v>372</v>
      </c>
      <c r="B59" s="11"/>
      <c r="C59" s="11"/>
      <c r="D59" s="2" t="s">
        <v>4743</v>
      </c>
      <c r="E59" s="2" t="s">
        <v>4744</v>
      </c>
      <c r="F59" s="2" t="s">
        <v>4745</v>
      </c>
      <c r="G59" s="2" t="s">
        <v>4684</v>
      </c>
      <c r="H59" s="3">
        <v>1</v>
      </c>
      <c r="I59" s="4">
        <v>1</v>
      </c>
      <c r="J59" s="2" t="s">
        <v>2</v>
      </c>
      <c r="K59" s="2" t="s">
        <v>3612</v>
      </c>
      <c r="L59" s="2" t="s">
        <v>2</v>
      </c>
      <c r="M59" s="2" t="s">
        <v>2</v>
      </c>
    </row>
    <row r="60" spans="1:13" ht="24" customHeight="1" x14ac:dyDescent="0.3">
      <c r="A60" s="2" t="s">
        <v>330</v>
      </c>
      <c r="B60" s="11"/>
      <c r="C60" s="11"/>
      <c r="D60" s="2" t="s">
        <v>4746</v>
      </c>
      <c r="E60" s="2" t="s">
        <v>4747</v>
      </c>
      <c r="F60" s="2" t="s">
        <v>4748</v>
      </c>
      <c r="G60" s="2" t="s">
        <v>4684</v>
      </c>
      <c r="H60" s="3">
        <v>1</v>
      </c>
      <c r="I60" s="4">
        <v>1</v>
      </c>
      <c r="J60" s="2" t="s">
        <v>2</v>
      </c>
      <c r="K60" s="2" t="s">
        <v>3612</v>
      </c>
      <c r="L60" s="2" t="s">
        <v>2</v>
      </c>
      <c r="M60" s="2" t="s">
        <v>2</v>
      </c>
    </row>
    <row r="61" spans="1:13" ht="24" customHeight="1" x14ac:dyDescent="0.3">
      <c r="A61" s="2" t="s">
        <v>358</v>
      </c>
      <c r="B61" s="11"/>
      <c r="C61" s="11"/>
      <c r="D61" s="2" t="s">
        <v>4749</v>
      </c>
      <c r="E61" s="2" t="s">
        <v>4750</v>
      </c>
      <c r="F61" s="2" t="s">
        <v>4751</v>
      </c>
      <c r="G61" s="2" t="s">
        <v>4684</v>
      </c>
      <c r="H61" s="3">
        <v>1</v>
      </c>
      <c r="I61" s="4">
        <v>1</v>
      </c>
      <c r="J61" s="2" t="s">
        <v>2</v>
      </c>
      <c r="K61" s="2" t="s">
        <v>3612</v>
      </c>
      <c r="L61" s="2" t="s">
        <v>2</v>
      </c>
      <c r="M61" s="2" t="s">
        <v>2</v>
      </c>
    </row>
    <row r="62" spans="1:13" ht="24" customHeight="1" x14ac:dyDescent="0.3">
      <c r="A62" s="2" t="s">
        <v>373</v>
      </c>
      <c r="B62" s="11"/>
      <c r="C62" s="11"/>
      <c r="D62" s="2" t="s">
        <v>4752</v>
      </c>
      <c r="E62" s="2" t="s">
        <v>4753</v>
      </c>
      <c r="F62" s="2" t="s">
        <v>4754</v>
      </c>
      <c r="G62" s="2" t="s">
        <v>4684</v>
      </c>
      <c r="H62" s="3">
        <v>1</v>
      </c>
      <c r="I62" s="4">
        <v>1</v>
      </c>
      <c r="J62" s="2" t="s">
        <v>2</v>
      </c>
      <c r="K62" s="2" t="s">
        <v>3612</v>
      </c>
      <c r="L62" s="2" t="s">
        <v>3424</v>
      </c>
      <c r="M62" s="2" t="s">
        <v>2</v>
      </c>
    </row>
    <row r="63" spans="1:13" ht="24" customHeight="1" x14ac:dyDescent="0.3">
      <c r="A63" s="2" t="s">
        <v>374</v>
      </c>
      <c r="B63" s="11"/>
      <c r="C63" s="11"/>
      <c r="D63" s="2" t="s">
        <v>4755</v>
      </c>
      <c r="E63" s="2" t="s">
        <v>4756</v>
      </c>
      <c r="F63" s="2" t="s">
        <v>4757</v>
      </c>
      <c r="G63" s="2" t="s">
        <v>4684</v>
      </c>
      <c r="H63" s="3">
        <v>2</v>
      </c>
      <c r="I63" s="4">
        <v>2</v>
      </c>
      <c r="J63" s="2" t="s">
        <v>2</v>
      </c>
      <c r="K63" s="2" t="s">
        <v>3612</v>
      </c>
      <c r="L63" s="2" t="s">
        <v>2</v>
      </c>
      <c r="M63" s="2" t="s">
        <v>2</v>
      </c>
    </row>
    <row r="64" spans="1:13" ht="24" customHeight="1" x14ac:dyDescent="0.3">
      <c r="A64" s="2" t="s">
        <v>375</v>
      </c>
      <c r="B64" s="11"/>
      <c r="C64" s="11"/>
      <c r="D64" s="2" t="s">
        <v>4758</v>
      </c>
      <c r="E64" s="2" t="s">
        <v>4759</v>
      </c>
      <c r="F64" s="2" t="s">
        <v>4760</v>
      </c>
      <c r="G64" s="2" t="s">
        <v>4684</v>
      </c>
      <c r="H64" s="3">
        <v>1</v>
      </c>
      <c r="I64" s="4">
        <v>1</v>
      </c>
      <c r="J64" s="2" t="s">
        <v>2</v>
      </c>
      <c r="K64" s="2" t="s">
        <v>4761</v>
      </c>
      <c r="L64" s="2" t="s">
        <v>2</v>
      </c>
      <c r="M64" s="2" t="s">
        <v>2</v>
      </c>
    </row>
    <row r="65" spans="1:13" ht="24" customHeight="1" x14ac:dyDescent="0.3">
      <c r="A65" s="2" t="s">
        <v>359</v>
      </c>
      <c r="B65" s="11"/>
      <c r="C65" s="11"/>
      <c r="D65" s="2" t="s">
        <v>4762</v>
      </c>
      <c r="E65" s="2" t="s">
        <v>4763</v>
      </c>
      <c r="F65" s="2" t="s">
        <v>4764</v>
      </c>
      <c r="G65" s="2" t="s">
        <v>634</v>
      </c>
      <c r="H65" s="3">
        <v>2</v>
      </c>
      <c r="I65" s="4">
        <v>6.6</v>
      </c>
      <c r="J65" s="2" t="s">
        <v>4765</v>
      </c>
      <c r="K65" s="2" t="s">
        <v>1104</v>
      </c>
      <c r="L65" s="2" t="s">
        <v>2</v>
      </c>
      <c r="M65" s="2" t="s">
        <v>2</v>
      </c>
    </row>
    <row r="66" spans="1:13" ht="24" customHeight="1" x14ac:dyDescent="0.3">
      <c r="A66" s="2" t="s">
        <v>376</v>
      </c>
      <c r="B66" s="11"/>
      <c r="C66" s="11"/>
      <c r="D66" s="2" t="s">
        <v>4766</v>
      </c>
      <c r="E66" s="2" t="s">
        <v>4767</v>
      </c>
      <c r="F66" s="2" t="s">
        <v>4768</v>
      </c>
      <c r="G66" s="2" t="s">
        <v>634</v>
      </c>
      <c r="H66" s="3">
        <v>6</v>
      </c>
      <c r="I66" s="4">
        <v>6</v>
      </c>
      <c r="J66" s="2" t="s">
        <v>4769</v>
      </c>
      <c r="K66" s="2" t="s">
        <v>523</v>
      </c>
      <c r="L66" s="2" t="s">
        <v>2</v>
      </c>
      <c r="M66" s="2" t="s">
        <v>2</v>
      </c>
    </row>
    <row r="67" spans="1:13" ht="24" customHeight="1" x14ac:dyDescent="0.3">
      <c r="A67" s="2" t="s">
        <v>536</v>
      </c>
      <c r="B67" s="11"/>
      <c r="C67" s="11"/>
      <c r="D67" s="2" t="s">
        <v>4770</v>
      </c>
      <c r="E67" s="2" t="s">
        <v>4771</v>
      </c>
      <c r="F67" s="2" t="s">
        <v>4768</v>
      </c>
      <c r="G67" s="2" t="s">
        <v>4684</v>
      </c>
      <c r="H67" s="3">
        <v>14</v>
      </c>
      <c r="I67" s="4">
        <v>21</v>
      </c>
      <c r="J67" s="2" t="s">
        <v>4715</v>
      </c>
      <c r="K67" s="2" t="s">
        <v>2814</v>
      </c>
      <c r="L67" s="2" t="s">
        <v>2</v>
      </c>
      <c r="M67" s="2" t="s">
        <v>2</v>
      </c>
    </row>
    <row r="68" spans="1:13" ht="24" customHeight="1" x14ac:dyDescent="0.3">
      <c r="A68" s="2" t="s">
        <v>537</v>
      </c>
      <c r="B68" s="11"/>
      <c r="C68" s="11"/>
      <c r="D68" s="2" t="s">
        <v>4772</v>
      </c>
      <c r="E68" s="2" t="s">
        <v>4763</v>
      </c>
      <c r="F68" s="2" t="s">
        <v>4768</v>
      </c>
      <c r="G68" s="2" t="s">
        <v>634</v>
      </c>
      <c r="H68" s="3">
        <v>1</v>
      </c>
      <c r="I68" s="4">
        <v>1</v>
      </c>
      <c r="J68" s="2" t="s">
        <v>4765</v>
      </c>
      <c r="K68" s="2" t="s">
        <v>4581</v>
      </c>
      <c r="L68" s="2" t="s">
        <v>2</v>
      </c>
      <c r="M68" s="2" t="s">
        <v>2</v>
      </c>
    </row>
    <row r="69" spans="1:13" ht="24" customHeight="1" x14ac:dyDescent="0.3">
      <c r="A69" s="2" t="s">
        <v>538</v>
      </c>
      <c r="B69" s="11"/>
      <c r="C69" s="11"/>
      <c r="D69" s="2" t="s">
        <v>4773</v>
      </c>
      <c r="E69" s="2" t="s">
        <v>4774</v>
      </c>
      <c r="F69" s="2" t="s">
        <v>4768</v>
      </c>
      <c r="G69" s="2" t="s">
        <v>4684</v>
      </c>
      <c r="H69" s="3">
        <v>6</v>
      </c>
      <c r="I69" s="4">
        <v>6</v>
      </c>
      <c r="J69" s="2" t="s">
        <v>4775</v>
      </c>
      <c r="K69" s="2" t="s">
        <v>3520</v>
      </c>
      <c r="L69" s="2" t="s">
        <v>2</v>
      </c>
      <c r="M69" s="2" t="s">
        <v>2</v>
      </c>
    </row>
    <row r="70" spans="1:13" ht="24" customHeight="1" x14ac:dyDescent="0.3">
      <c r="A70" s="2" t="s">
        <v>539</v>
      </c>
      <c r="B70" s="11"/>
      <c r="C70" s="11"/>
      <c r="D70" s="2" t="s">
        <v>4776</v>
      </c>
      <c r="E70" s="2" t="s">
        <v>558</v>
      </c>
      <c r="F70" s="2" t="s">
        <v>4777</v>
      </c>
      <c r="G70" s="2" t="s">
        <v>4684</v>
      </c>
      <c r="H70" s="3">
        <v>4</v>
      </c>
      <c r="I70" s="4">
        <v>4</v>
      </c>
      <c r="J70" s="2" t="s">
        <v>4715</v>
      </c>
      <c r="K70" s="2" t="s">
        <v>642</v>
      </c>
      <c r="L70" s="2" t="s">
        <v>2</v>
      </c>
      <c r="M70" s="2" t="s">
        <v>2</v>
      </c>
    </row>
    <row r="71" spans="1:13" ht="24" customHeight="1" x14ac:dyDescent="0.3">
      <c r="A71" s="2" t="s">
        <v>540</v>
      </c>
      <c r="B71" s="11"/>
      <c r="C71" s="11"/>
      <c r="D71" s="2" t="s">
        <v>2127</v>
      </c>
      <c r="E71" s="2" t="s">
        <v>2128</v>
      </c>
      <c r="F71" s="2" t="s">
        <v>4349</v>
      </c>
      <c r="G71" s="2" t="s">
        <v>4778</v>
      </c>
      <c r="H71" s="3">
        <v>1</v>
      </c>
      <c r="I71" s="4">
        <v>1</v>
      </c>
      <c r="J71" s="2" t="s">
        <v>2130</v>
      </c>
      <c r="K71" s="2" t="s">
        <v>3593</v>
      </c>
      <c r="L71" s="2" t="s">
        <v>2</v>
      </c>
      <c r="M71" s="2" t="s">
        <v>2</v>
      </c>
    </row>
    <row r="72" spans="1:13" ht="24" customHeight="1" x14ac:dyDescent="0.3">
      <c r="A72" s="2" t="s">
        <v>541</v>
      </c>
      <c r="B72" s="11"/>
      <c r="C72" s="11"/>
      <c r="D72" s="2" t="s">
        <v>4779</v>
      </c>
      <c r="E72" s="2" t="s">
        <v>4780</v>
      </c>
      <c r="F72" s="2" t="s">
        <v>4781</v>
      </c>
      <c r="G72" s="2" t="s">
        <v>483</v>
      </c>
      <c r="H72" s="3">
        <v>1</v>
      </c>
      <c r="I72" s="4">
        <v>1</v>
      </c>
      <c r="J72" s="2" t="s">
        <v>4782</v>
      </c>
      <c r="K72" s="2" t="s">
        <v>722</v>
      </c>
      <c r="L72" s="2" t="s">
        <v>2</v>
      </c>
      <c r="M72" s="2" t="s">
        <v>2</v>
      </c>
    </row>
    <row r="73" spans="1:13" ht="24" customHeight="1" x14ac:dyDescent="0.3">
      <c r="A73" s="2" t="s">
        <v>542</v>
      </c>
      <c r="B73" s="11"/>
      <c r="C73" s="11"/>
      <c r="D73" s="2" t="s">
        <v>4783</v>
      </c>
      <c r="E73" s="2" t="s">
        <v>4784</v>
      </c>
      <c r="F73" s="2" t="s">
        <v>4785</v>
      </c>
      <c r="G73" s="2" t="s">
        <v>4778</v>
      </c>
      <c r="H73" s="3">
        <v>1</v>
      </c>
      <c r="I73" s="4">
        <v>1</v>
      </c>
      <c r="J73" s="2" t="s">
        <v>4786</v>
      </c>
      <c r="K73" s="2" t="s">
        <v>3578</v>
      </c>
      <c r="L73" s="2" t="s">
        <v>2</v>
      </c>
      <c r="M73" s="2" t="s">
        <v>2</v>
      </c>
    </row>
    <row r="74" spans="1:13" ht="24" customHeight="1" x14ac:dyDescent="0.3">
      <c r="A74" s="2" t="s">
        <v>544</v>
      </c>
      <c r="B74" s="11"/>
      <c r="C74" s="11"/>
      <c r="D74" s="2" t="s">
        <v>4606</v>
      </c>
      <c r="E74" s="2" t="s">
        <v>4787</v>
      </c>
      <c r="F74" s="2" t="s">
        <v>4788</v>
      </c>
      <c r="G74" s="2" t="s">
        <v>4789</v>
      </c>
      <c r="H74" s="3">
        <v>1</v>
      </c>
      <c r="I74" s="4">
        <v>0.6</v>
      </c>
      <c r="J74" s="2" t="s">
        <v>2</v>
      </c>
      <c r="K74" s="2" t="s">
        <v>2933</v>
      </c>
      <c r="L74" s="2" t="s">
        <v>2</v>
      </c>
      <c r="M74" s="2" t="s">
        <v>510</v>
      </c>
    </row>
    <row r="75" spans="1:13" ht="24" customHeight="1" x14ac:dyDescent="0.3">
      <c r="A75" s="2" t="s">
        <v>545</v>
      </c>
      <c r="B75" s="11"/>
      <c r="C75" s="11"/>
      <c r="D75" s="2" t="s">
        <v>4790</v>
      </c>
      <c r="E75" s="2" t="s">
        <v>4791</v>
      </c>
      <c r="F75" s="2" t="s">
        <v>4792</v>
      </c>
      <c r="G75" s="2" t="s">
        <v>574</v>
      </c>
      <c r="H75" s="3">
        <v>1</v>
      </c>
      <c r="I75" s="4">
        <v>1</v>
      </c>
      <c r="J75" s="2" t="s">
        <v>2</v>
      </c>
      <c r="K75" s="2" t="s">
        <v>3618</v>
      </c>
      <c r="L75" s="2" t="s">
        <v>2</v>
      </c>
      <c r="M75" s="2" t="s">
        <v>2</v>
      </c>
    </row>
    <row r="76" spans="1:13" ht="24" customHeight="1" x14ac:dyDescent="0.3">
      <c r="A76" s="2" t="s">
        <v>364</v>
      </c>
      <c r="B76" s="11"/>
      <c r="C76" s="11" t="s">
        <v>403</v>
      </c>
      <c r="D76" s="2" t="s">
        <v>3654</v>
      </c>
      <c r="E76" s="2" t="s">
        <v>4793</v>
      </c>
      <c r="F76" s="2" t="s">
        <v>4794</v>
      </c>
      <c r="G76" s="2" t="s">
        <v>574</v>
      </c>
      <c r="H76" s="3">
        <v>1</v>
      </c>
      <c r="I76" s="4">
        <v>1</v>
      </c>
      <c r="J76" s="2" t="s">
        <v>2</v>
      </c>
      <c r="K76" s="2" t="s">
        <v>873</v>
      </c>
      <c r="L76" s="2" t="s">
        <v>2</v>
      </c>
      <c r="M76" s="2" t="s">
        <v>2</v>
      </c>
    </row>
    <row r="77" spans="1:13" ht="24" customHeight="1" x14ac:dyDescent="0.3">
      <c r="A77" s="2" t="s">
        <v>546</v>
      </c>
      <c r="B77" s="11"/>
      <c r="C77" s="11"/>
      <c r="D77" s="2" t="s">
        <v>3583</v>
      </c>
      <c r="E77" s="2" t="s">
        <v>636</v>
      </c>
      <c r="F77" s="2" t="s">
        <v>4795</v>
      </c>
      <c r="G77" s="2" t="s">
        <v>574</v>
      </c>
      <c r="H77" s="3">
        <v>1</v>
      </c>
      <c r="I77" s="4">
        <v>1</v>
      </c>
      <c r="J77" s="2" t="s">
        <v>2</v>
      </c>
      <c r="K77" s="2" t="s">
        <v>836</v>
      </c>
      <c r="L77" s="2" t="s">
        <v>2</v>
      </c>
      <c r="M77" s="2" t="s">
        <v>2</v>
      </c>
    </row>
    <row r="78" spans="1:13" ht="24" customHeight="1" x14ac:dyDescent="0.3">
      <c r="A78" s="2" t="s">
        <v>547</v>
      </c>
      <c r="B78" s="11"/>
      <c r="C78" s="11"/>
      <c r="D78" s="2" t="s">
        <v>4796</v>
      </c>
      <c r="E78" s="2" t="s">
        <v>4797</v>
      </c>
      <c r="F78" s="2" t="s">
        <v>4798</v>
      </c>
      <c r="G78" s="2" t="s">
        <v>4363</v>
      </c>
      <c r="H78" s="3">
        <v>1</v>
      </c>
      <c r="I78" s="4">
        <v>1</v>
      </c>
      <c r="J78" s="2" t="s">
        <v>2</v>
      </c>
      <c r="K78" s="2" t="s">
        <v>4225</v>
      </c>
      <c r="L78" s="2" t="s">
        <v>2</v>
      </c>
      <c r="M78" s="2" t="s">
        <v>2</v>
      </c>
    </row>
    <row r="79" spans="1:13" ht="24" customHeight="1" x14ac:dyDescent="0.3">
      <c r="A79" s="2" t="s">
        <v>548</v>
      </c>
      <c r="B79" s="11"/>
      <c r="C79" s="11"/>
      <c r="D79" s="2" t="s">
        <v>4799</v>
      </c>
      <c r="E79" s="2" t="s">
        <v>3569</v>
      </c>
      <c r="F79" s="2" t="s">
        <v>4800</v>
      </c>
      <c r="G79" s="2" t="s">
        <v>634</v>
      </c>
      <c r="H79" s="3">
        <v>1</v>
      </c>
      <c r="I79" s="4">
        <v>1</v>
      </c>
      <c r="J79" s="2" t="s">
        <v>2</v>
      </c>
      <c r="K79" s="2" t="s">
        <v>3438</v>
      </c>
      <c r="L79" s="2" t="s">
        <v>2</v>
      </c>
      <c r="M79" s="2" t="s">
        <v>2</v>
      </c>
    </row>
    <row r="80" spans="1:13" ht="24" customHeight="1" x14ac:dyDescent="0.3">
      <c r="A80" s="2" t="s">
        <v>549</v>
      </c>
      <c r="B80" s="11"/>
      <c r="C80" s="11"/>
      <c r="D80" s="2" t="s">
        <v>1095</v>
      </c>
      <c r="E80" s="2" t="s">
        <v>4801</v>
      </c>
      <c r="F80" s="2" t="s">
        <v>4802</v>
      </c>
      <c r="G80" s="2" t="s">
        <v>574</v>
      </c>
      <c r="H80" s="3">
        <v>1</v>
      </c>
      <c r="I80" s="4">
        <v>1</v>
      </c>
      <c r="J80" s="2" t="s">
        <v>2</v>
      </c>
      <c r="K80" s="2" t="s">
        <v>586</v>
      </c>
      <c r="L80" s="2" t="s">
        <v>2</v>
      </c>
      <c r="M80" s="2" t="s">
        <v>2</v>
      </c>
    </row>
    <row r="81" spans="1:13" ht="24" customHeight="1" x14ac:dyDescent="0.3">
      <c r="A81" s="2" t="s">
        <v>550</v>
      </c>
      <c r="B81" s="11"/>
      <c r="C81" s="11"/>
      <c r="D81" s="2" t="s">
        <v>3563</v>
      </c>
      <c r="E81" s="2" t="s">
        <v>4803</v>
      </c>
      <c r="F81" s="2" t="s">
        <v>4804</v>
      </c>
      <c r="G81" s="2" t="s">
        <v>574</v>
      </c>
      <c r="H81" s="3">
        <v>1</v>
      </c>
      <c r="I81" s="4">
        <v>1</v>
      </c>
      <c r="J81" s="2" t="s">
        <v>2</v>
      </c>
      <c r="K81" s="2" t="s">
        <v>3878</v>
      </c>
      <c r="L81" s="2" t="s">
        <v>2</v>
      </c>
      <c r="M81" s="2" t="s">
        <v>2</v>
      </c>
    </row>
    <row r="82" spans="1:13" ht="24" customHeight="1" x14ac:dyDescent="0.3">
      <c r="A82" s="2" t="s">
        <v>552</v>
      </c>
      <c r="B82" s="11"/>
      <c r="C82" s="11" t="s">
        <v>215</v>
      </c>
      <c r="D82" s="2" t="s">
        <v>4608</v>
      </c>
      <c r="E82" s="2" t="s">
        <v>3440</v>
      </c>
      <c r="F82" s="2" t="s">
        <v>4805</v>
      </c>
      <c r="G82" s="2" t="s">
        <v>4563</v>
      </c>
      <c r="H82" s="3">
        <v>2</v>
      </c>
      <c r="I82" s="4">
        <v>4.4000000000000004</v>
      </c>
      <c r="J82" s="2" t="s">
        <v>4806</v>
      </c>
      <c r="K82" s="2" t="s">
        <v>4591</v>
      </c>
      <c r="L82" s="2" t="s">
        <v>2</v>
      </c>
      <c r="M82" s="2" t="s">
        <v>2</v>
      </c>
    </row>
    <row r="83" spans="1:13" ht="24" customHeight="1" x14ac:dyDescent="0.3">
      <c r="A83" s="2" t="s">
        <v>553</v>
      </c>
      <c r="B83" s="11"/>
      <c r="C83" s="11"/>
      <c r="D83" s="2" t="s">
        <v>4807</v>
      </c>
      <c r="E83" s="2" t="s">
        <v>3433</v>
      </c>
      <c r="F83" s="2" t="s">
        <v>4808</v>
      </c>
      <c r="G83" s="2" t="s">
        <v>634</v>
      </c>
      <c r="H83" s="3">
        <v>1</v>
      </c>
      <c r="I83" s="4">
        <v>1</v>
      </c>
      <c r="J83" s="2" t="s">
        <v>2</v>
      </c>
      <c r="K83" s="2" t="s">
        <v>3501</v>
      </c>
      <c r="L83" s="2" t="s">
        <v>2</v>
      </c>
      <c r="M83" s="2" t="s">
        <v>2</v>
      </c>
    </row>
    <row r="84" spans="1:13" ht="24" customHeight="1" x14ac:dyDescent="0.3">
      <c r="A84" s="2" t="s">
        <v>554</v>
      </c>
      <c r="B84" s="11"/>
      <c r="C84" s="11"/>
      <c r="D84" s="2" t="s">
        <v>4809</v>
      </c>
      <c r="E84" s="2" t="s">
        <v>3594</v>
      </c>
      <c r="F84" s="2" t="s">
        <v>4810</v>
      </c>
      <c r="G84" s="2" t="s">
        <v>4245</v>
      </c>
      <c r="H84" s="3">
        <v>1</v>
      </c>
      <c r="I84" s="4">
        <v>1</v>
      </c>
      <c r="J84" s="2" t="s">
        <v>2</v>
      </c>
      <c r="K84" s="2" t="s">
        <v>4609</v>
      </c>
      <c r="L84" s="2" t="s">
        <v>2</v>
      </c>
      <c r="M84" s="2" t="s">
        <v>2</v>
      </c>
    </row>
    <row r="85" spans="1:13" ht="24" customHeight="1" x14ac:dyDescent="0.3">
      <c r="A85" s="2" t="s">
        <v>646</v>
      </c>
      <c r="B85" s="11"/>
      <c r="C85" s="11"/>
      <c r="D85" s="2" t="s">
        <v>4811</v>
      </c>
      <c r="E85" s="2" t="s">
        <v>4812</v>
      </c>
      <c r="F85" s="2" t="s">
        <v>4813</v>
      </c>
      <c r="G85" s="2" t="s">
        <v>4563</v>
      </c>
      <c r="H85" s="3">
        <v>2</v>
      </c>
      <c r="I85" s="4">
        <v>2.9</v>
      </c>
      <c r="J85" s="2" t="s">
        <v>4814</v>
      </c>
      <c r="K85" s="2" t="s">
        <v>865</v>
      </c>
      <c r="L85" s="2" t="s">
        <v>973</v>
      </c>
      <c r="M85" s="2" t="s">
        <v>980</v>
      </c>
    </row>
    <row r="86" spans="1:13" ht="24" customHeight="1" x14ac:dyDescent="0.3">
      <c r="A86" s="2" t="s">
        <v>648</v>
      </c>
      <c r="B86" s="11"/>
      <c r="C86" s="11"/>
      <c r="D86" s="2" t="s">
        <v>4815</v>
      </c>
      <c r="E86" s="2" t="s">
        <v>4816</v>
      </c>
      <c r="F86" s="2" t="s">
        <v>4817</v>
      </c>
      <c r="G86" s="2" t="s">
        <v>4245</v>
      </c>
      <c r="H86" s="3">
        <v>1</v>
      </c>
      <c r="I86" s="4">
        <v>1</v>
      </c>
      <c r="J86" s="2" t="s">
        <v>2</v>
      </c>
      <c r="K86" s="2" t="s">
        <v>969</v>
      </c>
      <c r="L86" s="2" t="s">
        <v>2</v>
      </c>
      <c r="M86" s="2" t="s">
        <v>2</v>
      </c>
    </row>
    <row r="87" spans="1:13" ht="24" customHeight="1" x14ac:dyDescent="0.3">
      <c r="A87" s="2" t="s">
        <v>649</v>
      </c>
      <c r="B87" s="11"/>
      <c r="C87" s="11"/>
      <c r="D87" s="2" t="s">
        <v>4818</v>
      </c>
      <c r="E87" s="2" t="s">
        <v>543</v>
      </c>
      <c r="F87" s="2" t="s">
        <v>4819</v>
      </c>
      <c r="G87" s="2" t="s">
        <v>574</v>
      </c>
      <c r="H87" s="3">
        <v>1</v>
      </c>
      <c r="I87" s="4">
        <v>1</v>
      </c>
      <c r="J87" s="2" t="s">
        <v>2</v>
      </c>
      <c r="K87" s="2" t="s">
        <v>3692</v>
      </c>
      <c r="L87" s="2" t="s">
        <v>2</v>
      </c>
      <c r="M87" s="2" t="s">
        <v>2</v>
      </c>
    </row>
    <row r="88" spans="1:13" ht="24" customHeight="1" x14ac:dyDescent="0.3">
      <c r="A88" s="2" t="s">
        <v>650</v>
      </c>
      <c r="B88" s="11"/>
      <c r="C88" s="11"/>
      <c r="D88" s="2" t="s">
        <v>4820</v>
      </c>
      <c r="E88" s="2" t="s">
        <v>4821</v>
      </c>
      <c r="F88" s="2" t="s">
        <v>4822</v>
      </c>
      <c r="G88" s="2" t="s">
        <v>4823</v>
      </c>
      <c r="H88" s="3">
        <v>1</v>
      </c>
      <c r="I88" s="4">
        <v>1</v>
      </c>
      <c r="J88" s="2" t="s">
        <v>2</v>
      </c>
      <c r="K88" s="2" t="s">
        <v>4824</v>
      </c>
      <c r="L88" s="2" t="s">
        <v>2</v>
      </c>
      <c r="M88" s="2" t="s">
        <v>2</v>
      </c>
    </row>
    <row r="89" spans="1:13" ht="24" customHeight="1" x14ac:dyDescent="0.3">
      <c r="A89" s="2" t="s">
        <v>652</v>
      </c>
      <c r="B89" s="11"/>
      <c r="C89" s="11"/>
      <c r="D89" s="2" t="s">
        <v>4825</v>
      </c>
      <c r="E89" s="2" t="s">
        <v>4826</v>
      </c>
      <c r="F89" s="2" t="s">
        <v>4827</v>
      </c>
      <c r="G89" s="2" t="s">
        <v>4828</v>
      </c>
      <c r="H89" s="3">
        <v>1</v>
      </c>
      <c r="I89" s="4">
        <v>1.9</v>
      </c>
      <c r="J89" s="2" t="s">
        <v>2</v>
      </c>
      <c r="K89" s="2" t="s">
        <v>3674</v>
      </c>
      <c r="L89" s="2" t="s">
        <v>2</v>
      </c>
      <c r="M89" s="2" t="s">
        <v>2</v>
      </c>
    </row>
    <row r="90" spans="1:13" ht="24" customHeight="1" x14ac:dyDescent="0.3">
      <c r="A90" s="2" t="s">
        <v>653</v>
      </c>
      <c r="B90" s="11"/>
      <c r="C90" s="11"/>
      <c r="D90" s="2" t="s">
        <v>4829</v>
      </c>
      <c r="E90" s="2" t="s">
        <v>4570</v>
      </c>
      <c r="F90" s="2" t="s">
        <v>4830</v>
      </c>
      <c r="G90" s="2" t="s">
        <v>4831</v>
      </c>
      <c r="H90" s="3">
        <v>2</v>
      </c>
      <c r="I90" s="4">
        <v>3.1</v>
      </c>
      <c r="J90" s="2" t="s">
        <v>2</v>
      </c>
      <c r="K90" s="2" t="s">
        <v>3176</v>
      </c>
      <c r="L90" s="2" t="s">
        <v>2</v>
      </c>
      <c r="M90" s="2" t="s">
        <v>2</v>
      </c>
    </row>
    <row r="91" spans="1:13" ht="24" customHeight="1" x14ac:dyDescent="0.3">
      <c r="A91" s="2" t="s">
        <v>655</v>
      </c>
      <c r="B91" s="11"/>
      <c r="C91" s="11"/>
      <c r="D91" s="2" t="s">
        <v>4832</v>
      </c>
      <c r="E91" s="2" t="s">
        <v>4833</v>
      </c>
      <c r="F91" s="2" t="s">
        <v>4834</v>
      </c>
      <c r="G91" s="2" t="s">
        <v>4835</v>
      </c>
      <c r="H91" s="3">
        <v>1</v>
      </c>
      <c r="I91" s="4">
        <v>0.3</v>
      </c>
      <c r="J91" s="2" t="s">
        <v>4836</v>
      </c>
      <c r="K91" s="2" t="s">
        <v>981</v>
      </c>
      <c r="L91" s="2" t="s">
        <v>2</v>
      </c>
      <c r="M91" s="2" t="s">
        <v>2</v>
      </c>
    </row>
    <row r="92" spans="1:13" ht="24" customHeight="1" x14ac:dyDescent="0.3">
      <c r="A92" s="2" t="s">
        <v>656</v>
      </c>
      <c r="B92" s="11"/>
      <c r="C92" s="11"/>
      <c r="D92" s="2" t="s">
        <v>2302</v>
      </c>
      <c r="E92" s="2" t="s">
        <v>4837</v>
      </c>
      <c r="F92" s="2" t="s">
        <v>4838</v>
      </c>
      <c r="G92" s="2" t="s">
        <v>4247</v>
      </c>
      <c r="H92" s="3">
        <v>1</v>
      </c>
      <c r="I92" s="4">
        <v>1.2</v>
      </c>
      <c r="J92" s="2" t="s">
        <v>2</v>
      </c>
      <c r="K92" s="2" t="s">
        <v>876</v>
      </c>
      <c r="L92" s="2" t="s">
        <v>2</v>
      </c>
      <c r="M92" s="2" t="s">
        <v>2</v>
      </c>
    </row>
    <row r="93" spans="1:13" ht="24" customHeight="1" x14ac:dyDescent="0.3">
      <c r="A93" s="2" t="s">
        <v>657</v>
      </c>
      <c r="B93" s="11"/>
      <c r="C93" s="11" t="s">
        <v>60</v>
      </c>
      <c r="D93" s="2" t="s">
        <v>4839</v>
      </c>
      <c r="E93" s="2" t="s">
        <v>4840</v>
      </c>
      <c r="F93" s="2" t="s">
        <v>4841</v>
      </c>
      <c r="G93" s="2" t="s">
        <v>4568</v>
      </c>
      <c r="H93" s="3">
        <v>1</v>
      </c>
      <c r="I93" s="4">
        <v>0.9</v>
      </c>
      <c r="J93" s="2" t="s">
        <v>4842</v>
      </c>
      <c r="K93" s="2" t="s">
        <v>643</v>
      </c>
      <c r="L93" s="2" t="s">
        <v>3614</v>
      </c>
      <c r="M93" s="2" t="s">
        <v>2</v>
      </c>
    </row>
    <row r="94" spans="1:13" ht="24" customHeight="1" x14ac:dyDescent="0.3">
      <c r="A94" s="2" t="s">
        <v>658</v>
      </c>
      <c r="B94" s="11"/>
      <c r="C94" s="11"/>
      <c r="D94" s="2" t="s">
        <v>4843</v>
      </c>
      <c r="E94" s="2" t="s">
        <v>3610</v>
      </c>
      <c r="F94" s="2" t="s">
        <v>4844</v>
      </c>
      <c r="G94" s="2" t="s">
        <v>4245</v>
      </c>
      <c r="H94" s="3">
        <v>1</v>
      </c>
      <c r="I94" s="4">
        <v>0.7</v>
      </c>
      <c r="J94" s="2" t="s">
        <v>2</v>
      </c>
      <c r="K94" s="2" t="s">
        <v>3437</v>
      </c>
      <c r="L94" s="2" t="s">
        <v>2</v>
      </c>
      <c r="M94" s="2" t="s">
        <v>2</v>
      </c>
    </row>
    <row r="95" spans="1:13" ht="24" customHeight="1" x14ac:dyDescent="0.3">
      <c r="A95" s="2" t="s">
        <v>659</v>
      </c>
      <c r="B95" s="11"/>
      <c r="C95" s="11"/>
      <c r="D95" s="2" t="s">
        <v>4422</v>
      </c>
      <c r="E95" s="2" t="s">
        <v>3463</v>
      </c>
      <c r="F95" s="2" t="s">
        <v>4423</v>
      </c>
      <c r="G95" s="2" t="s">
        <v>4845</v>
      </c>
      <c r="H95" s="3">
        <v>1</v>
      </c>
      <c r="I95" s="4">
        <v>2</v>
      </c>
      <c r="J95" s="2" t="s">
        <v>2</v>
      </c>
      <c r="K95" s="2" t="s">
        <v>3566</v>
      </c>
      <c r="L95" s="2" t="s">
        <v>2</v>
      </c>
      <c r="M95" s="2" t="s">
        <v>2</v>
      </c>
    </row>
    <row r="96" spans="1:13" ht="24" customHeight="1" x14ac:dyDescent="0.3">
      <c r="A96" s="2" t="s">
        <v>360</v>
      </c>
      <c r="B96" s="11"/>
      <c r="C96" s="11"/>
      <c r="D96" s="2" t="s">
        <v>4428</v>
      </c>
      <c r="E96" s="2" t="s">
        <v>4429</v>
      </c>
      <c r="F96" s="2" t="s">
        <v>4430</v>
      </c>
      <c r="G96" s="2" t="s">
        <v>4565</v>
      </c>
      <c r="H96" s="3">
        <v>8</v>
      </c>
      <c r="I96" s="4">
        <v>15</v>
      </c>
      <c r="J96" s="2" t="s">
        <v>4846</v>
      </c>
      <c r="K96" s="2" t="s">
        <v>578</v>
      </c>
      <c r="L96" s="2" t="s">
        <v>2</v>
      </c>
      <c r="M96" s="2" t="s">
        <v>2</v>
      </c>
    </row>
    <row r="97" spans="1:13" ht="24" customHeight="1" x14ac:dyDescent="0.3">
      <c r="A97" s="2" t="s">
        <v>660</v>
      </c>
      <c r="B97" s="11"/>
      <c r="C97" s="11"/>
      <c r="D97" s="2" t="s">
        <v>3582</v>
      </c>
      <c r="E97" s="2" t="s">
        <v>4847</v>
      </c>
      <c r="F97" s="2" t="s">
        <v>4848</v>
      </c>
      <c r="G97" s="2" t="s">
        <v>4249</v>
      </c>
      <c r="H97" s="3">
        <v>13</v>
      </c>
      <c r="I97" s="4">
        <v>15.6</v>
      </c>
      <c r="J97" s="2" t="s">
        <v>4849</v>
      </c>
      <c r="K97" s="2" t="s">
        <v>3611</v>
      </c>
      <c r="L97" s="2" t="s">
        <v>2</v>
      </c>
      <c r="M97" s="2" t="s">
        <v>2</v>
      </c>
    </row>
    <row r="98" spans="1:13" ht="24" customHeight="1" x14ac:dyDescent="0.3">
      <c r="A98" s="2" t="s">
        <v>661</v>
      </c>
      <c r="B98" s="11"/>
      <c r="C98" s="11"/>
      <c r="D98" s="2" t="s">
        <v>4441</v>
      </c>
      <c r="E98" s="2" t="s">
        <v>4812</v>
      </c>
      <c r="F98" s="2" t="s">
        <v>4442</v>
      </c>
      <c r="G98" s="2" t="s">
        <v>4850</v>
      </c>
      <c r="H98" s="3">
        <v>5</v>
      </c>
      <c r="I98" s="4">
        <v>9.4</v>
      </c>
      <c r="J98" s="2" t="s">
        <v>4444</v>
      </c>
      <c r="K98" s="2" t="s">
        <v>1352</v>
      </c>
      <c r="L98" s="2" t="s">
        <v>2</v>
      </c>
      <c r="M98" s="2" t="s">
        <v>2</v>
      </c>
    </row>
    <row r="99" spans="1:13" ht="24" customHeight="1" x14ac:dyDescent="0.3">
      <c r="A99" s="2" t="s">
        <v>365</v>
      </c>
      <c r="B99" s="11"/>
      <c r="C99" s="11"/>
      <c r="D99" s="2" t="s">
        <v>4851</v>
      </c>
      <c r="E99" s="2" t="s">
        <v>4852</v>
      </c>
      <c r="F99" s="2" t="s">
        <v>4853</v>
      </c>
      <c r="G99" s="2" t="s">
        <v>4294</v>
      </c>
      <c r="H99" s="3">
        <v>3</v>
      </c>
      <c r="I99" s="4">
        <v>4.7</v>
      </c>
      <c r="J99" s="2" t="s">
        <v>4854</v>
      </c>
      <c r="K99" s="2" t="s">
        <v>3630</v>
      </c>
      <c r="L99" s="2" t="s">
        <v>2</v>
      </c>
      <c r="M99" s="2" t="s">
        <v>2</v>
      </c>
    </row>
    <row r="100" spans="1:13" ht="24" customHeight="1" x14ac:dyDescent="0.3">
      <c r="A100" s="2" t="s">
        <v>663</v>
      </c>
      <c r="B100" s="11"/>
      <c r="C100" s="11"/>
      <c r="D100" s="2" t="s">
        <v>4500</v>
      </c>
      <c r="E100" s="2" t="s">
        <v>4501</v>
      </c>
      <c r="F100" s="2" t="s">
        <v>4502</v>
      </c>
      <c r="G100" s="2" t="s">
        <v>4855</v>
      </c>
      <c r="H100" s="3">
        <v>7</v>
      </c>
      <c r="I100" s="4">
        <v>10.9</v>
      </c>
      <c r="J100" s="2" t="s">
        <v>2</v>
      </c>
      <c r="K100" s="2" t="s">
        <v>133</v>
      </c>
      <c r="L100" s="2" t="s">
        <v>2</v>
      </c>
      <c r="M100" s="2" t="s">
        <v>2</v>
      </c>
    </row>
    <row r="101" spans="1:13" ht="24" customHeight="1" x14ac:dyDescent="0.3">
      <c r="A101" s="2" t="s">
        <v>664</v>
      </c>
      <c r="B101" s="11"/>
      <c r="C101" s="11"/>
      <c r="D101" s="2" t="s">
        <v>2960</v>
      </c>
      <c r="E101" s="2" t="s">
        <v>2961</v>
      </c>
      <c r="F101" s="2" t="s">
        <v>4507</v>
      </c>
      <c r="G101" s="2" t="s">
        <v>4565</v>
      </c>
      <c r="H101" s="3">
        <v>5</v>
      </c>
      <c r="I101" s="4">
        <v>7</v>
      </c>
      <c r="J101" s="2" t="s">
        <v>2963</v>
      </c>
      <c r="K101" s="2" t="s">
        <v>1009</v>
      </c>
      <c r="L101" s="2" t="s">
        <v>2</v>
      </c>
      <c r="M101" s="2" t="s">
        <v>2</v>
      </c>
    </row>
    <row r="102" spans="1:13" ht="24" customHeight="1" x14ac:dyDescent="0.3">
      <c r="A102" s="2" t="s">
        <v>665</v>
      </c>
      <c r="B102" s="11"/>
      <c r="C102" s="11"/>
      <c r="D102" s="2" t="s">
        <v>4856</v>
      </c>
      <c r="E102" s="2" t="s">
        <v>4857</v>
      </c>
      <c r="F102" s="2" t="s">
        <v>4858</v>
      </c>
      <c r="G102" s="2" t="s">
        <v>574</v>
      </c>
      <c r="H102" s="3">
        <v>1</v>
      </c>
      <c r="I102" s="4">
        <v>1</v>
      </c>
      <c r="J102" s="2" t="s">
        <v>2</v>
      </c>
      <c r="K102" s="2" t="s">
        <v>768</v>
      </c>
      <c r="L102" s="2" t="s">
        <v>2</v>
      </c>
      <c r="M102" s="2" t="s">
        <v>2</v>
      </c>
    </row>
    <row r="103" spans="1:13" ht="24" customHeight="1" x14ac:dyDescent="0.3">
      <c r="A103" s="2" t="s">
        <v>666</v>
      </c>
      <c r="B103" s="11"/>
      <c r="C103" s="11"/>
      <c r="D103" s="2" t="s">
        <v>4859</v>
      </c>
      <c r="E103" s="2" t="s">
        <v>4860</v>
      </c>
      <c r="F103" s="2" t="s">
        <v>4858</v>
      </c>
      <c r="G103" s="2" t="s">
        <v>574</v>
      </c>
      <c r="H103" s="3">
        <v>1</v>
      </c>
      <c r="I103" s="4">
        <v>1</v>
      </c>
      <c r="J103" s="2" t="s">
        <v>2</v>
      </c>
      <c r="K103" s="2" t="s">
        <v>768</v>
      </c>
      <c r="L103" s="2" t="s">
        <v>2</v>
      </c>
      <c r="M103" s="2" t="s">
        <v>2</v>
      </c>
    </row>
    <row r="104" spans="1:13" ht="24" customHeight="1" x14ac:dyDescent="0.3">
      <c r="A104" s="2" t="s">
        <v>667</v>
      </c>
      <c r="B104" s="11"/>
      <c r="C104" s="11"/>
      <c r="D104" s="2" t="s">
        <v>4861</v>
      </c>
      <c r="E104" s="2" t="s">
        <v>4253</v>
      </c>
      <c r="F104" s="2" t="s">
        <v>4858</v>
      </c>
      <c r="G104" s="2" t="s">
        <v>574</v>
      </c>
      <c r="H104" s="3">
        <v>1</v>
      </c>
      <c r="I104" s="4">
        <v>1</v>
      </c>
      <c r="J104" s="2" t="s">
        <v>2</v>
      </c>
      <c r="K104" s="2" t="s">
        <v>768</v>
      </c>
      <c r="L104" s="2" t="s">
        <v>2</v>
      </c>
      <c r="M104" s="2" t="s">
        <v>2</v>
      </c>
    </row>
    <row r="105" spans="1:13" ht="24" customHeight="1" x14ac:dyDescent="0.3">
      <c r="A105" s="2" t="s">
        <v>669</v>
      </c>
      <c r="B105" s="11"/>
      <c r="C105" s="11"/>
      <c r="D105" s="2" t="s">
        <v>4862</v>
      </c>
      <c r="E105" s="2" t="s">
        <v>4863</v>
      </c>
      <c r="F105" s="2" t="s">
        <v>4858</v>
      </c>
      <c r="G105" s="2" t="s">
        <v>574</v>
      </c>
      <c r="H105" s="3">
        <v>1</v>
      </c>
      <c r="I105" s="4">
        <v>1</v>
      </c>
      <c r="J105" s="2" t="s">
        <v>2</v>
      </c>
      <c r="K105" s="2" t="s">
        <v>768</v>
      </c>
      <c r="L105" s="2" t="s">
        <v>2</v>
      </c>
      <c r="M105" s="2" t="s">
        <v>2</v>
      </c>
    </row>
    <row r="106" spans="1:13" ht="24" customHeight="1" x14ac:dyDescent="0.3">
      <c r="A106" s="2" t="s">
        <v>670</v>
      </c>
      <c r="B106" s="11"/>
      <c r="C106" s="11"/>
      <c r="D106" s="2" t="s">
        <v>4864</v>
      </c>
      <c r="E106" s="2" t="s">
        <v>3484</v>
      </c>
      <c r="F106" s="2" t="s">
        <v>4858</v>
      </c>
      <c r="G106" s="2" t="s">
        <v>574</v>
      </c>
      <c r="H106" s="3">
        <v>1</v>
      </c>
      <c r="I106" s="4">
        <v>1</v>
      </c>
      <c r="J106" s="2" t="s">
        <v>2</v>
      </c>
      <c r="K106" s="2" t="s">
        <v>768</v>
      </c>
      <c r="L106" s="2" t="s">
        <v>2</v>
      </c>
      <c r="M106" s="2" t="s">
        <v>2</v>
      </c>
    </row>
    <row r="107" spans="1:13" ht="24" customHeight="1" x14ac:dyDescent="0.3">
      <c r="A107" s="2" t="s">
        <v>672</v>
      </c>
      <c r="B107" s="11"/>
      <c r="C107" s="11"/>
      <c r="D107" s="2" t="s">
        <v>4865</v>
      </c>
      <c r="E107" s="2" t="s">
        <v>4866</v>
      </c>
      <c r="F107" s="2" t="s">
        <v>4858</v>
      </c>
      <c r="G107" s="2" t="s">
        <v>574</v>
      </c>
      <c r="H107" s="3">
        <v>1</v>
      </c>
      <c r="I107" s="4">
        <v>1</v>
      </c>
      <c r="J107" s="2" t="s">
        <v>2</v>
      </c>
      <c r="K107" s="2" t="s">
        <v>768</v>
      </c>
      <c r="L107" s="2" t="s">
        <v>2</v>
      </c>
      <c r="M107" s="2" t="s">
        <v>2</v>
      </c>
    </row>
    <row r="108" spans="1:13" ht="24" customHeight="1" x14ac:dyDescent="0.3">
      <c r="A108" s="2" t="s">
        <v>673</v>
      </c>
      <c r="B108" s="11"/>
      <c r="C108" s="11"/>
      <c r="D108" s="2" t="s">
        <v>4867</v>
      </c>
      <c r="E108" s="2" t="s">
        <v>4868</v>
      </c>
      <c r="F108" s="2" t="s">
        <v>4858</v>
      </c>
      <c r="G108" s="2" t="s">
        <v>574</v>
      </c>
      <c r="H108" s="3">
        <v>1</v>
      </c>
      <c r="I108" s="4">
        <v>1</v>
      </c>
      <c r="J108" s="2" t="s">
        <v>2</v>
      </c>
      <c r="K108" s="2" t="s">
        <v>768</v>
      </c>
      <c r="L108" s="2" t="s">
        <v>2</v>
      </c>
      <c r="M108" s="2" t="s">
        <v>2</v>
      </c>
    </row>
    <row r="109" spans="1:13" ht="24" customHeight="1" x14ac:dyDescent="0.3">
      <c r="A109" s="2" t="s">
        <v>675</v>
      </c>
      <c r="B109" s="11"/>
      <c r="C109" s="11"/>
      <c r="D109" s="2" t="s">
        <v>4869</v>
      </c>
      <c r="E109" s="2" t="s">
        <v>4870</v>
      </c>
      <c r="F109" s="2" t="s">
        <v>4858</v>
      </c>
      <c r="G109" s="2" t="s">
        <v>574</v>
      </c>
      <c r="H109" s="3">
        <v>1</v>
      </c>
      <c r="I109" s="4">
        <v>1</v>
      </c>
      <c r="J109" s="2" t="s">
        <v>2</v>
      </c>
      <c r="K109" s="2" t="s">
        <v>768</v>
      </c>
      <c r="L109" s="2" t="s">
        <v>2</v>
      </c>
      <c r="M109" s="2" t="s">
        <v>2</v>
      </c>
    </row>
    <row r="110" spans="1:13" ht="24" customHeight="1" x14ac:dyDescent="0.3">
      <c r="A110" s="2" t="s">
        <v>676</v>
      </c>
      <c r="B110" s="11"/>
      <c r="C110" s="11"/>
      <c r="D110" s="2" t="s">
        <v>4871</v>
      </c>
      <c r="E110" s="2" t="s">
        <v>4872</v>
      </c>
      <c r="F110" s="2" t="s">
        <v>4873</v>
      </c>
      <c r="G110" s="2" t="s">
        <v>4249</v>
      </c>
      <c r="H110" s="3">
        <v>3</v>
      </c>
      <c r="I110" s="4">
        <v>3</v>
      </c>
      <c r="J110" s="2" t="s">
        <v>4874</v>
      </c>
      <c r="K110" s="2" t="s">
        <v>132</v>
      </c>
      <c r="L110" s="2" t="s">
        <v>2</v>
      </c>
      <c r="M110" s="2" t="s">
        <v>2</v>
      </c>
    </row>
    <row r="111" spans="1:13" ht="24" customHeight="1" x14ac:dyDescent="0.3">
      <c r="A111" s="2" t="s">
        <v>677</v>
      </c>
      <c r="B111" s="11"/>
      <c r="C111" s="11"/>
      <c r="D111" s="2" t="s">
        <v>4875</v>
      </c>
      <c r="E111" s="2" t="s">
        <v>4876</v>
      </c>
      <c r="F111" s="2" t="s">
        <v>4877</v>
      </c>
      <c r="G111" s="2" t="s">
        <v>4878</v>
      </c>
      <c r="H111" s="3">
        <v>1</v>
      </c>
      <c r="I111" s="4">
        <v>1</v>
      </c>
      <c r="J111" s="2" t="s">
        <v>2</v>
      </c>
      <c r="K111" s="2" t="s">
        <v>983</v>
      </c>
      <c r="L111" s="2" t="s">
        <v>2</v>
      </c>
      <c r="M111" s="2" t="s">
        <v>2</v>
      </c>
    </row>
    <row r="112" spans="1:13" ht="24" customHeight="1" x14ac:dyDescent="0.3">
      <c r="A112" s="2" t="s">
        <v>678</v>
      </c>
      <c r="B112" s="11"/>
      <c r="C112" s="11"/>
      <c r="D112" s="2" t="s">
        <v>2949</v>
      </c>
      <c r="E112" s="2" t="s">
        <v>2950</v>
      </c>
      <c r="F112" s="2" t="s">
        <v>4879</v>
      </c>
      <c r="G112" s="2" t="s">
        <v>4575</v>
      </c>
      <c r="H112" s="3">
        <v>3</v>
      </c>
      <c r="I112" s="4">
        <v>6.4</v>
      </c>
      <c r="J112" s="2" t="s">
        <v>2952</v>
      </c>
      <c r="K112" s="2" t="s">
        <v>3439</v>
      </c>
      <c r="L112" s="2" t="s">
        <v>2</v>
      </c>
      <c r="M112" s="2" t="s">
        <v>2</v>
      </c>
    </row>
    <row r="113" spans="1:13" ht="24" customHeight="1" x14ac:dyDescent="0.3">
      <c r="A113" s="2" t="s">
        <v>679</v>
      </c>
      <c r="B113" s="11"/>
      <c r="C113" s="11"/>
      <c r="D113" s="2" t="s">
        <v>4880</v>
      </c>
      <c r="E113" s="2" t="s">
        <v>4881</v>
      </c>
      <c r="F113" s="2" t="s">
        <v>4882</v>
      </c>
      <c r="G113" s="2" t="s">
        <v>634</v>
      </c>
      <c r="H113" s="3">
        <v>8</v>
      </c>
      <c r="I113" s="4">
        <v>8</v>
      </c>
      <c r="J113" s="2" t="s">
        <v>4883</v>
      </c>
      <c r="K113" s="2" t="s">
        <v>3630</v>
      </c>
      <c r="L113" s="2" t="s">
        <v>2</v>
      </c>
      <c r="M113" s="2" t="s">
        <v>2</v>
      </c>
    </row>
    <row r="114" spans="1:13" ht="24" customHeight="1" x14ac:dyDescent="0.3">
      <c r="A114" s="2" t="s">
        <v>680</v>
      </c>
      <c r="B114" s="11"/>
      <c r="C114" s="11"/>
      <c r="D114" s="2" t="s">
        <v>3420</v>
      </c>
      <c r="E114" s="2" t="s">
        <v>4523</v>
      </c>
      <c r="F114" s="2" t="s">
        <v>4524</v>
      </c>
      <c r="G114" s="2" t="s">
        <v>4884</v>
      </c>
      <c r="H114" s="3">
        <v>10</v>
      </c>
      <c r="I114" s="4">
        <v>14.4</v>
      </c>
      <c r="J114" s="2" t="s">
        <v>4526</v>
      </c>
      <c r="K114" s="2" t="s">
        <v>4885</v>
      </c>
      <c r="L114" s="2" t="s">
        <v>2</v>
      </c>
      <c r="M114" s="2" t="s">
        <v>2</v>
      </c>
    </row>
    <row r="115" spans="1:13" ht="24" customHeight="1" x14ac:dyDescent="0.3">
      <c r="A115" s="2" t="s">
        <v>682</v>
      </c>
      <c r="B115" s="11"/>
      <c r="C115" s="11"/>
      <c r="D115" s="2" t="s">
        <v>4886</v>
      </c>
      <c r="E115" s="2" t="s">
        <v>4571</v>
      </c>
      <c r="F115" s="2" t="s">
        <v>4887</v>
      </c>
      <c r="G115" s="2" t="s">
        <v>4565</v>
      </c>
      <c r="H115" s="3">
        <v>2</v>
      </c>
      <c r="I115" s="4">
        <v>4.4000000000000004</v>
      </c>
      <c r="J115" s="2" t="s">
        <v>2</v>
      </c>
      <c r="K115" s="2" t="s">
        <v>3467</v>
      </c>
      <c r="L115" s="2" t="s">
        <v>310</v>
      </c>
      <c r="M115" s="2" t="s">
        <v>2</v>
      </c>
    </row>
    <row r="116" spans="1:13" ht="24" customHeight="1" x14ac:dyDescent="0.3">
      <c r="A116" s="2" t="s">
        <v>683</v>
      </c>
      <c r="B116" s="11"/>
      <c r="C116" s="11"/>
      <c r="D116" s="2" t="s">
        <v>964</v>
      </c>
      <c r="E116" s="2" t="s">
        <v>4099</v>
      </c>
      <c r="F116" s="2" t="s">
        <v>4888</v>
      </c>
      <c r="G116" s="2" t="s">
        <v>4249</v>
      </c>
      <c r="H116" s="3">
        <v>3</v>
      </c>
      <c r="I116" s="4">
        <v>3</v>
      </c>
      <c r="J116" s="2" t="s">
        <v>4889</v>
      </c>
      <c r="K116" s="2" t="s">
        <v>575</v>
      </c>
      <c r="L116" s="2" t="s">
        <v>2</v>
      </c>
      <c r="M116" s="2" t="s">
        <v>2</v>
      </c>
    </row>
    <row r="117" spans="1:13" ht="24" customHeight="1" x14ac:dyDescent="0.3">
      <c r="A117" s="2" t="s">
        <v>685</v>
      </c>
      <c r="B117" s="11"/>
      <c r="C117" s="11"/>
      <c r="D117" s="2" t="s">
        <v>2695</v>
      </c>
      <c r="E117" s="2" t="s">
        <v>2696</v>
      </c>
      <c r="F117" s="2" t="s">
        <v>4890</v>
      </c>
      <c r="G117" s="2" t="s">
        <v>4891</v>
      </c>
      <c r="H117" s="3">
        <v>1</v>
      </c>
      <c r="I117" s="4">
        <v>2</v>
      </c>
      <c r="J117" s="2" t="s">
        <v>2</v>
      </c>
      <c r="K117" s="2" t="s">
        <v>3402</v>
      </c>
      <c r="L117" s="2" t="s">
        <v>2</v>
      </c>
      <c r="M117" s="2" t="s">
        <v>2</v>
      </c>
    </row>
    <row r="118" spans="1:13" ht="24" customHeight="1" x14ac:dyDescent="0.3">
      <c r="A118" s="2" t="s">
        <v>686</v>
      </c>
      <c r="B118" s="11"/>
      <c r="C118" s="11"/>
      <c r="D118" s="2" t="s">
        <v>2716</v>
      </c>
      <c r="E118" s="2" t="s">
        <v>2717</v>
      </c>
      <c r="F118" s="2" t="s">
        <v>4892</v>
      </c>
      <c r="G118" s="2" t="s">
        <v>4893</v>
      </c>
      <c r="H118" s="3">
        <v>6</v>
      </c>
      <c r="I118" s="4">
        <v>20.2</v>
      </c>
      <c r="J118" s="2" t="s">
        <v>2719</v>
      </c>
      <c r="K118" s="2" t="s">
        <v>3447</v>
      </c>
      <c r="L118" s="2" t="s">
        <v>2</v>
      </c>
      <c r="M118" s="2" t="s">
        <v>2</v>
      </c>
    </row>
    <row r="119" spans="1:13" ht="24" customHeight="1" x14ac:dyDescent="0.3">
      <c r="A119" s="2" t="s">
        <v>687</v>
      </c>
      <c r="B119" s="11"/>
      <c r="C119" s="11"/>
      <c r="D119" s="2" t="s">
        <v>4894</v>
      </c>
      <c r="E119" s="2" t="s">
        <v>4895</v>
      </c>
      <c r="F119" s="2" t="s">
        <v>4896</v>
      </c>
      <c r="G119" s="2" t="s">
        <v>574</v>
      </c>
      <c r="H119" s="3">
        <v>1</v>
      </c>
      <c r="I119" s="4">
        <v>1</v>
      </c>
      <c r="J119" s="2" t="s">
        <v>2</v>
      </c>
      <c r="K119" s="2" t="s">
        <v>1060</v>
      </c>
      <c r="L119" s="2" t="s">
        <v>2</v>
      </c>
      <c r="M119" s="2" t="s">
        <v>2</v>
      </c>
    </row>
    <row r="120" spans="1:13" ht="24" customHeight="1" x14ac:dyDescent="0.3">
      <c r="A120" s="2" t="s">
        <v>688</v>
      </c>
      <c r="B120" s="11"/>
      <c r="C120" s="11"/>
      <c r="D120" s="2" t="s">
        <v>4897</v>
      </c>
      <c r="E120" s="2" t="s">
        <v>4580</v>
      </c>
      <c r="F120" s="2" t="s">
        <v>4898</v>
      </c>
      <c r="G120" s="2" t="s">
        <v>4249</v>
      </c>
      <c r="H120" s="3">
        <v>1</v>
      </c>
      <c r="I120" s="4">
        <v>4.5</v>
      </c>
      <c r="J120" s="2" t="s">
        <v>2</v>
      </c>
      <c r="K120" s="2" t="s">
        <v>2296</v>
      </c>
      <c r="L120" s="2" t="s">
        <v>2</v>
      </c>
      <c r="M120" s="2" t="s">
        <v>2</v>
      </c>
    </row>
    <row r="121" spans="1:13" ht="24" customHeight="1" x14ac:dyDescent="0.3">
      <c r="A121" s="2" t="s">
        <v>690</v>
      </c>
      <c r="B121" s="11"/>
      <c r="C121" s="11"/>
      <c r="D121" s="2" t="s">
        <v>4899</v>
      </c>
      <c r="E121" s="2" t="s">
        <v>3623</v>
      </c>
      <c r="F121" s="2" t="s">
        <v>4900</v>
      </c>
      <c r="G121" s="2" t="s">
        <v>574</v>
      </c>
      <c r="H121" s="3">
        <v>4</v>
      </c>
      <c r="I121" s="4">
        <v>5</v>
      </c>
      <c r="J121" s="2" t="s">
        <v>2</v>
      </c>
      <c r="K121" s="2" t="s">
        <v>3526</v>
      </c>
      <c r="L121" s="2" t="s">
        <v>2</v>
      </c>
      <c r="M121" s="2" t="s">
        <v>510</v>
      </c>
    </row>
    <row r="122" spans="1:13" ht="24" customHeight="1" x14ac:dyDescent="0.3">
      <c r="A122" s="2" t="s">
        <v>691</v>
      </c>
      <c r="B122" s="11"/>
      <c r="C122" s="11"/>
      <c r="D122" s="2" t="s">
        <v>4901</v>
      </c>
      <c r="E122" s="2" t="s">
        <v>4902</v>
      </c>
      <c r="F122" s="2" t="s">
        <v>4903</v>
      </c>
      <c r="G122" s="2" t="s">
        <v>574</v>
      </c>
      <c r="H122" s="3">
        <v>1</v>
      </c>
      <c r="I122" s="4">
        <v>0.5</v>
      </c>
      <c r="J122" s="2" t="s">
        <v>2</v>
      </c>
      <c r="K122" s="2" t="s">
        <v>4093</v>
      </c>
      <c r="L122" s="2" t="s">
        <v>2</v>
      </c>
      <c r="M122" s="2" t="s">
        <v>510</v>
      </c>
    </row>
    <row r="123" spans="1:13" ht="24" customHeight="1" x14ac:dyDescent="0.3">
      <c r="A123" s="2" t="s">
        <v>692</v>
      </c>
      <c r="B123" s="11"/>
      <c r="C123" s="11"/>
      <c r="D123" s="2" t="s">
        <v>4904</v>
      </c>
      <c r="E123" s="2" t="s">
        <v>4905</v>
      </c>
      <c r="F123" s="2" t="s">
        <v>4906</v>
      </c>
      <c r="G123" s="2" t="s">
        <v>480</v>
      </c>
      <c r="H123" s="3">
        <v>1</v>
      </c>
      <c r="I123" s="4">
        <v>4.5</v>
      </c>
      <c r="J123" s="2" t="s">
        <v>2</v>
      </c>
      <c r="K123" s="2" t="s">
        <v>4097</v>
      </c>
      <c r="L123" s="2" t="s">
        <v>2</v>
      </c>
      <c r="M123" s="2" t="s">
        <v>2</v>
      </c>
    </row>
    <row r="124" spans="1:13" ht="24" customHeight="1" x14ac:dyDescent="0.3">
      <c r="A124" s="2" t="s">
        <v>694</v>
      </c>
      <c r="B124" s="11"/>
      <c r="C124" s="11"/>
      <c r="D124" s="2" t="s">
        <v>4907</v>
      </c>
      <c r="E124" s="2" t="s">
        <v>4908</v>
      </c>
      <c r="F124" s="2" t="s">
        <v>4909</v>
      </c>
      <c r="G124" s="2" t="s">
        <v>4910</v>
      </c>
      <c r="H124" s="3">
        <v>2</v>
      </c>
      <c r="I124" s="4">
        <v>1.5</v>
      </c>
      <c r="J124" s="2" t="s">
        <v>4911</v>
      </c>
      <c r="K124" s="2" t="s">
        <v>293</v>
      </c>
      <c r="L124" s="2" t="s">
        <v>2</v>
      </c>
      <c r="M124" s="2" t="s">
        <v>2</v>
      </c>
    </row>
    <row r="125" spans="1:13" ht="24" customHeight="1" x14ac:dyDescent="0.3">
      <c r="A125" s="2" t="s">
        <v>695</v>
      </c>
      <c r="B125" s="11"/>
      <c r="C125" s="11"/>
      <c r="D125" s="2" t="s">
        <v>4912</v>
      </c>
      <c r="E125" s="2" t="s">
        <v>2973</v>
      </c>
      <c r="F125" s="2" t="s">
        <v>4913</v>
      </c>
      <c r="G125" s="2" t="s">
        <v>574</v>
      </c>
      <c r="H125" s="3">
        <v>1</v>
      </c>
      <c r="I125" s="4">
        <v>1</v>
      </c>
      <c r="J125" s="2" t="s">
        <v>2</v>
      </c>
      <c r="K125" s="2" t="s">
        <v>4914</v>
      </c>
      <c r="L125" s="2" t="s">
        <v>2</v>
      </c>
      <c r="M125" s="2" t="s">
        <v>510</v>
      </c>
    </row>
    <row r="126" spans="1:13" ht="24" customHeight="1" x14ac:dyDescent="0.3">
      <c r="A126" s="2" t="s">
        <v>696</v>
      </c>
      <c r="B126" s="11"/>
      <c r="C126" s="11"/>
      <c r="D126" s="2" t="s">
        <v>4915</v>
      </c>
      <c r="E126" s="2" t="s">
        <v>4916</v>
      </c>
      <c r="F126" s="2" t="s">
        <v>4917</v>
      </c>
      <c r="G126" s="2" t="s">
        <v>574</v>
      </c>
      <c r="H126" s="3">
        <v>1</v>
      </c>
      <c r="I126" s="4">
        <v>1</v>
      </c>
      <c r="J126" s="2" t="s">
        <v>4918</v>
      </c>
      <c r="K126" s="2" t="s">
        <v>3410</v>
      </c>
      <c r="L126" s="2" t="s">
        <v>2</v>
      </c>
      <c r="M126" s="2" t="s">
        <v>2</v>
      </c>
    </row>
    <row r="127" spans="1:13" ht="24" customHeight="1" x14ac:dyDescent="0.3">
      <c r="A127" s="2" t="s">
        <v>697</v>
      </c>
      <c r="B127" s="11"/>
      <c r="C127" s="11"/>
      <c r="D127" s="2" t="s">
        <v>4919</v>
      </c>
      <c r="E127" s="2" t="s">
        <v>4920</v>
      </c>
      <c r="F127" s="2" t="s">
        <v>4921</v>
      </c>
      <c r="G127" s="2" t="s">
        <v>574</v>
      </c>
      <c r="H127" s="3">
        <v>1</v>
      </c>
      <c r="I127" s="4">
        <v>1</v>
      </c>
      <c r="J127" s="2" t="s">
        <v>2</v>
      </c>
      <c r="K127" s="2" t="s">
        <v>3493</v>
      </c>
      <c r="L127" s="2" t="s">
        <v>2</v>
      </c>
      <c r="M127" s="2" t="s">
        <v>2</v>
      </c>
    </row>
    <row r="128" spans="1:13" ht="24" customHeight="1" x14ac:dyDescent="0.3">
      <c r="A128" s="2" t="s">
        <v>698</v>
      </c>
      <c r="B128" s="11"/>
      <c r="C128" s="11"/>
      <c r="D128" s="2" t="s">
        <v>4922</v>
      </c>
      <c r="E128" s="2" t="s">
        <v>4923</v>
      </c>
      <c r="F128" s="2" t="s">
        <v>4924</v>
      </c>
      <c r="G128" s="2" t="s">
        <v>574</v>
      </c>
      <c r="H128" s="3">
        <v>1</v>
      </c>
      <c r="I128" s="4">
        <v>1</v>
      </c>
      <c r="J128" s="2" t="s">
        <v>2</v>
      </c>
      <c r="K128" s="2" t="s">
        <v>3493</v>
      </c>
      <c r="L128" s="2" t="s">
        <v>2</v>
      </c>
      <c r="M128" s="2" t="s">
        <v>2</v>
      </c>
    </row>
  </sheetData>
  <autoFilter ref="A5:M5" xr:uid="{00000000-0009-0000-0000-00000F000000}"/>
  <mergeCells count="23">
    <mergeCell ref="B6:B128"/>
    <mergeCell ref="C6"/>
    <mergeCell ref="C7:C10"/>
    <mergeCell ref="C11:C14"/>
    <mergeCell ref="C15:C19"/>
    <mergeCell ref="C20:C25"/>
    <mergeCell ref="C26:C75"/>
    <mergeCell ref="C76:C81"/>
    <mergeCell ref="C82:C92"/>
    <mergeCell ref="C93:C128"/>
    <mergeCell ref="A1:M1"/>
    <mergeCell ref="A2:M2"/>
    <mergeCell ref="A4:A5"/>
    <mergeCell ref="B4:B5"/>
    <mergeCell ref="C4:C5"/>
    <mergeCell ref="D4:D5"/>
    <mergeCell ref="E4:E5"/>
    <mergeCell ref="F4:F5"/>
    <mergeCell ref="G4:G5"/>
    <mergeCell ref="J4:J5"/>
    <mergeCell ref="K4:K5"/>
    <mergeCell ref="L4:L5"/>
    <mergeCell ref="M4:M5"/>
  </mergeCells>
  <phoneticPr fontId="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22"/>
  <sheetViews>
    <sheetView workbookViewId="0">
      <pane xSplit="5" ySplit="5" topLeftCell="F6" activePane="bottomRight" state="frozen"/>
      <selection pane="topRight"/>
      <selection pane="bottomLeft"/>
      <selection pane="bottomRight" activeCell="A6" sqref="A6"/>
    </sheetView>
  </sheetViews>
  <sheetFormatPr defaultRowHeight="16.5" x14ac:dyDescent="0.3"/>
  <cols>
    <col min="1" max="1" width="6" customWidth="1"/>
    <col min="2" max="3" width="12.625" customWidth="1"/>
    <col min="4" max="4" width="16.375" customWidth="1"/>
    <col min="5" max="5" width="14.875" customWidth="1"/>
    <col min="6" max="6" width="22.25" customWidth="1"/>
    <col min="7" max="7" width="11.875" customWidth="1"/>
    <col min="8" max="8" width="20.75" customWidth="1"/>
    <col min="9" max="9" width="17.875" customWidth="1"/>
    <col min="10" max="10" width="13.625" customWidth="1"/>
    <col min="11" max="11" width="22.25" customWidth="1"/>
    <col min="12" max="12" width="16.375" customWidth="1"/>
    <col min="13" max="14" width="11.875" customWidth="1"/>
    <col min="15" max="19" width="10.375" customWidth="1"/>
    <col min="20" max="20" width="17.875" customWidth="1"/>
    <col min="21" max="22" width="14.875" customWidth="1"/>
    <col min="23" max="23" width="14" customWidth="1"/>
  </cols>
  <sheetData>
    <row r="1" spans="1:23" ht="18.75" x14ac:dyDescent="0.3">
      <c r="A1" s="8" t="s">
        <v>4938</v>
      </c>
      <c r="B1" s="8"/>
      <c r="C1" s="8"/>
      <c r="D1" s="8"/>
      <c r="E1" s="8"/>
      <c r="F1" s="8"/>
      <c r="G1" s="8"/>
      <c r="H1" s="8"/>
      <c r="I1" s="8"/>
      <c r="J1" s="8"/>
      <c r="K1" s="8"/>
      <c r="L1" s="8"/>
      <c r="M1" s="8"/>
      <c r="N1" s="8"/>
      <c r="O1" s="8"/>
      <c r="P1" s="8"/>
      <c r="Q1" s="8"/>
      <c r="R1" s="8"/>
      <c r="S1" s="8"/>
      <c r="T1" s="8"/>
      <c r="U1" s="8"/>
      <c r="V1" s="8"/>
      <c r="W1" s="8"/>
    </row>
    <row r="2" spans="1:23" x14ac:dyDescent="0.3">
      <c r="A2" s="9" t="s">
        <v>4939</v>
      </c>
      <c r="B2" s="9"/>
      <c r="C2" s="9"/>
      <c r="D2" s="9"/>
      <c r="E2" s="9"/>
      <c r="F2" s="9"/>
      <c r="G2" s="9"/>
      <c r="H2" s="9"/>
      <c r="I2" s="9"/>
      <c r="J2" s="9"/>
      <c r="K2" s="9"/>
      <c r="L2" s="9"/>
      <c r="M2" s="9"/>
      <c r="N2" s="9"/>
      <c r="O2" s="9"/>
      <c r="P2" s="9"/>
      <c r="Q2" s="9"/>
      <c r="R2" s="9"/>
      <c r="S2" s="9"/>
      <c r="T2" s="9"/>
      <c r="U2" s="9"/>
      <c r="V2" s="9"/>
      <c r="W2" s="9"/>
    </row>
    <row r="3" spans="1:23" x14ac:dyDescent="0.3">
      <c r="A3" s="5"/>
      <c r="B3" s="5"/>
      <c r="C3" s="5"/>
      <c r="D3" s="5"/>
      <c r="E3" s="5"/>
      <c r="F3" s="5"/>
      <c r="G3" s="5"/>
      <c r="H3" s="5"/>
      <c r="I3" s="5"/>
      <c r="J3" s="5"/>
      <c r="K3" s="5"/>
      <c r="L3" s="5"/>
      <c r="M3" s="5"/>
      <c r="N3" s="5"/>
      <c r="O3" s="5"/>
      <c r="P3" s="5"/>
      <c r="Q3" s="5"/>
      <c r="R3" s="5"/>
      <c r="S3" s="5"/>
      <c r="T3" s="5"/>
      <c r="U3" s="5"/>
      <c r="V3" s="5"/>
      <c r="W3" s="5" t="s">
        <v>2</v>
      </c>
    </row>
    <row r="4" spans="1:23" ht="24" customHeight="1" x14ac:dyDescent="0.3">
      <c r="A4" s="10" t="s">
        <v>3</v>
      </c>
      <c r="B4" s="10" t="s">
        <v>4</v>
      </c>
      <c r="C4" s="10" t="s">
        <v>5</v>
      </c>
      <c r="D4" s="10" t="s">
        <v>382</v>
      </c>
      <c r="E4" s="10" t="s">
        <v>383</v>
      </c>
      <c r="F4" s="10" t="s">
        <v>7</v>
      </c>
      <c r="G4" s="10" t="s">
        <v>627</v>
      </c>
      <c r="H4" s="10"/>
      <c r="I4" s="10"/>
      <c r="J4" s="10"/>
      <c r="K4" s="10" t="s">
        <v>498</v>
      </c>
      <c r="L4" s="10" t="s">
        <v>499</v>
      </c>
      <c r="M4" s="1" t="s">
        <v>500</v>
      </c>
      <c r="N4" s="1" t="s">
        <v>13</v>
      </c>
      <c r="O4" s="10" t="s">
        <v>14</v>
      </c>
      <c r="P4" s="10"/>
      <c r="Q4" s="10"/>
      <c r="R4" s="10"/>
      <c r="S4" s="10"/>
      <c r="T4" s="10" t="s">
        <v>384</v>
      </c>
      <c r="U4" s="10" t="s">
        <v>18</v>
      </c>
      <c r="V4" s="10" t="s">
        <v>19</v>
      </c>
      <c r="W4" s="10" t="s">
        <v>22</v>
      </c>
    </row>
    <row r="5" spans="1:23" ht="30" customHeight="1" x14ac:dyDescent="0.3">
      <c r="A5" s="10"/>
      <c r="B5" s="10"/>
      <c r="C5" s="10"/>
      <c r="D5" s="10"/>
      <c r="E5" s="10"/>
      <c r="F5" s="10"/>
      <c r="G5" s="1" t="s">
        <v>26</v>
      </c>
      <c r="H5" s="1" t="s">
        <v>27</v>
      </c>
      <c r="I5" s="1" t="s">
        <v>28</v>
      </c>
      <c r="J5" s="1" t="s">
        <v>29</v>
      </c>
      <c r="K5" s="10"/>
      <c r="L5" s="10"/>
      <c r="M5" s="1" t="s">
        <v>30</v>
      </c>
      <c r="N5" s="1" t="s">
        <v>32</v>
      </c>
      <c r="O5" s="1" t="s">
        <v>33</v>
      </c>
      <c r="P5" s="1" t="s">
        <v>34</v>
      </c>
      <c r="Q5" s="1" t="s">
        <v>35</v>
      </c>
      <c r="R5" s="1" t="s">
        <v>36</v>
      </c>
      <c r="S5" s="1" t="s">
        <v>37</v>
      </c>
      <c r="T5" s="10"/>
      <c r="U5" s="10"/>
      <c r="V5" s="10"/>
      <c r="W5" s="10"/>
    </row>
    <row r="6" spans="1:23" ht="24" customHeight="1" x14ac:dyDescent="0.3">
      <c r="A6" s="2" t="s">
        <v>3693</v>
      </c>
      <c r="B6" s="11" t="s">
        <v>55</v>
      </c>
      <c r="C6" s="11" t="s">
        <v>40</v>
      </c>
      <c r="D6" s="2" t="s">
        <v>2</v>
      </c>
      <c r="E6" s="2" t="s">
        <v>2</v>
      </c>
      <c r="F6" s="2" t="s">
        <v>2</v>
      </c>
      <c r="G6" s="2" t="s">
        <v>2</v>
      </c>
      <c r="H6" s="2" t="s">
        <v>2</v>
      </c>
      <c r="I6" s="2" t="s">
        <v>2</v>
      </c>
      <c r="J6" s="2" t="s">
        <v>2</v>
      </c>
      <c r="K6" s="2" t="s">
        <v>2</v>
      </c>
      <c r="L6" s="2" t="s">
        <v>2</v>
      </c>
      <c r="M6" s="4">
        <v>7755.4</v>
      </c>
      <c r="N6" s="4">
        <v>1059681.8999999999</v>
      </c>
      <c r="O6" s="4">
        <f t="shared" ref="O6:O54" si="0">SUM(P6:S6)</f>
        <v>125528.40000000001</v>
      </c>
      <c r="P6" s="4">
        <v>42207.4</v>
      </c>
      <c r="Q6" s="4">
        <v>2289.4</v>
      </c>
      <c r="R6" s="4">
        <v>824.8</v>
      </c>
      <c r="S6" s="4">
        <v>80206.8</v>
      </c>
      <c r="T6" s="2" t="s">
        <v>2</v>
      </c>
      <c r="U6" s="2" t="s">
        <v>2</v>
      </c>
      <c r="V6" s="2" t="s">
        <v>2</v>
      </c>
      <c r="W6" s="2" t="s">
        <v>2</v>
      </c>
    </row>
    <row r="7" spans="1:23" ht="24" customHeight="1" x14ac:dyDescent="0.3">
      <c r="A7" s="2" t="s">
        <v>46</v>
      </c>
      <c r="B7" s="11"/>
      <c r="C7" s="11" t="s">
        <v>193</v>
      </c>
      <c r="D7" s="2" t="s">
        <v>4940</v>
      </c>
      <c r="E7" s="2" t="s">
        <v>3460</v>
      </c>
      <c r="F7" s="2" t="s">
        <v>4941</v>
      </c>
      <c r="G7" s="2" t="s">
        <v>2</v>
      </c>
      <c r="H7" s="2" t="s">
        <v>27</v>
      </c>
      <c r="I7" s="2" t="s">
        <v>28</v>
      </c>
      <c r="J7" s="2" t="s">
        <v>2</v>
      </c>
      <c r="K7" s="2" t="s">
        <v>506</v>
      </c>
      <c r="L7" s="2" t="s">
        <v>551</v>
      </c>
      <c r="M7" s="4">
        <v>80</v>
      </c>
      <c r="N7" s="4">
        <v>12020.4</v>
      </c>
      <c r="O7" s="4">
        <f t="shared" si="0"/>
        <v>28.5</v>
      </c>
      <c r="P7" s="4">
        <v>3.3</v>
      </c>
      <c r="Q7" s="4">
        <v>25.2</v>
      </c>
      <c r="R7" s="4">
        <v>0</v>
      </c>
      <c r="S7" s="4">
        <v>0</v>
      </c>
      <c r="T7" s="2" t="s">
        <v>4942</v>
      </c>
      <c r="U7" s="2" t="s">
        <v>3859</v>
      </c>
      <c r="V7" s="2" t="s">
        <v>2</v>
      </c>
      <c r="W7" s="2" t="s">
        <v>2</v>
      </c>
    </row>
    <row r="8" spans="1:23" ht="24" customHeight="1" x14ac:dyDescent="0.3">
      <c r="A8" s="2" t="s">
        <v>49</v>
      </c>
      <c r="B8" s="11"/>
      <c r="C8" s="11"/>
      <c r="D8" s="2" t="s">
        <v>732</v>
      </c>
      <c r="E8" s="2" t="s">
        <v>3122</v>
      </c>
      <c r="F8" s="2" t="s">
        <v>4943</v>
      </c>
      <c r="G8" s="2" t="s">
        <v>2</v>
      </c>
      <c r="H8" s="2" t="s">
        <v>27</v>
      </c>
      <c r="I8" s="2" t="s">
        <v>28</v>
      </c>
      <c r="J8" s="2" t="s">
        <v>2</v>
      </c>
      <c r="K8" s="2" t="s">
        <v>517</v>
      </c>
      <c r="L8" s="2" t="s">
        <v>4944</v>
      </c>
      <c r="M8" s="4">
        <v>56</v>
      </c>
      <c r="N8" s="4">
        <v>95.7</v>
      </c>
      <c r="O8" s="4">
        <f t="shared" si="0"/>
        <v>0</v>
      </c>
      <c r="P8" s="4">
        <v>0</v>
      </c>
      <c r="Q8" s="4">
        <v>0</v>
      </c>
      <c r="R8" s="4">
        <v>0</v>
      </c>
      <c r="S8" s="4">
        <v>0</v>
      </c>
      <c r="T8" s="2" t="s">
        <v>297</v>
      </c>
      <c r="U8" s="2" t="s">
        <v>3973</v>
      </c>
      <c r="V8" s="2" t="s">
        <v>2</v>
      </c>
      <c r="W8" s="2" t="s">
        <v>2</v>
      </c>
    </row>
    <row r="9" spans="1:23" ht="24" customHeight="1" x14ac:dyDescent="0.3">
      <c r="A9" s="2" t="s">
        <v>50</v>
      </c>
      <c r="B9" s="11"/>
      <c r="C9" s="11"/>
      <c r="D9" s="2" t="s">
        <v>4945</v>
      </c>
      <c r="E9" s="2" t="s">
        <v>4946</v>
      </c>
      <c r="F9" s="2" t="s">
        <v>1394</v>
      </c>
      <c r="G9" s="2" t="s">
        <v>2</v>
      </c>
      <c r="H9" s="2" t="s">
        <v>27</v>
      </c>
      <c r="I9" s="2" t="s">
        <v>28</v>
      </c>
      <c r="J9" s="2" t="s">
        <v>2</v>
      </c>
      <c r="K9" s="2" t="s">
        <v>506</v>
      </c>
      <c r="L9" s="2" t="s">
        <v>551</v>
      </c>
      <c r="M9" s="4">
        <v>80</v>
      </c>
      <c r="N9" s="4">
        <v>6341.8</v>
      </c>
      <c r="O9" s="4">
        <f t="shared" si="0"/>
        <v>331.1</v>
      </c>
      <c r="P9" s="4">
        <v>331.1</v>
      </c>
      <c r="Q9" s="4">
        <v>0</v>
      </c>
      <c r="R9" s="4">
        <v>0</v>
      </c>
      <c r="S9" s="4">
        <v>0</v>
      </c>
      <c r="T9" s="2" t="s">
        <v>4947</v>
      </c>
      <c r="U9" s="2" t="s">
        <v>3496</v>
      </c>
      <c r="V9" s="2" t="s">
        <v>2</v>
      </c>
      <c r="W9" s="2" t="s">
        <v>2</v>
      </c>
    </row>
    <row r="10" spans="1:23" ht="24" customHeight="1" x14ac:dyDescent="0.3">
      <c r="A10" s="2" t="s">
        <v>51</v>
      </c>
      <c r="B10" s="11"/>
      <c r="C10" s="11" t="s">
        <v>211</v>
      </c>
      <c r="D10" s="2" t="s">
        <v>4313</v>
      </c>
      <c r="E10" s="2" t="s">
        <v>1714</v>
      </c>
      <c r="F10" s="2" t="s">
        <v>4948</v>
      </c>
      <c r="G10" s="2" t="s">
        <v>2</v>
      </c>
      <c r="H10" s="2" t="s">
        <v>27</v>
      </c>
      <c r="I10" s="2" t="s">
        <v>28</v>
      </c>
      <c r="J10" s="2" t="s">
        <v>2</v>
      </c>
      <c r="K10" s="2" t="s">
        <v>4949</v>
      </c>
      <c r="L10" s="2" t="s">
        <v>551</v>
      </c>
      <c r="M10" s="4">
        <v>43.8</v>
      </c>
      <c r="N10" s="4">
        <v>4646.3999999999996</v>
      </c>
      <c r="O10" s="4">
        <f t="shared" si="0"/>
        <v>2305.9</v>
      </c>
      <c r="P10" s="4">
        <v>2294.5</v>
      </c>
      <c r="Q10" s="4">
        <v>11.4</v>
      </c>
      <c r="R10" s="4">
        <v>0</v>
      </c>
      <c r="S10" s="4">
        <v>0</v>
      </c>
      <c r="T10" s="2" t="s">
        <v>1716</v>
      </c>
      <c r="U10" s="2" t="s">
        <v>4101</v>
      </c>
      <c r="V10" s="2" t="s">
        <v>2</v>
      </c>
      <c r="W10" s="2" t="s">
        <v>2</v>
      </c>
    </row>
    <row r="11" spans="1:23" ht="24" customHeight="1" x14ac:dyDescent="0.3">
      <c r="A11" s="2" t="s">
        <v>52</v>
      </c>
      <c r="B11" s="11"/>
      <c r="C11" s="11"/>
      <c r="D11" s="2" t="s">
        <v>1776</v>
      </c>
      <c r="E11" s="2" t="s">
        <v>1777</v>
      </c>
      <c r="F11" s="2" t="s">
        <v>4668</v>
      </c>
      <c r="G11" s="2" t="s">
        <v>2</v>
      </c>
      <c r="H11" s="2" t="s">
        <v>27</v>
      </c>
      <c r="I11" s="2" t="s">
        <v>28</v>
      </c>
      <c r="J11" s="2" t="s">
        <v>2</v>
      </c>
      <c r="K11" s="2" t="s">
        <v>4585</v>
      </c>
      <c r="L11" s="2" t="s">
        <v>551</v>
      </c>
      <c r="M11" s="4">
        <v>10</v>
      </c>
      <c r="N11" s="4">
        <v>0</v>
      </c>
      <c r="O11" s="4">
        <f t="shared" si="0"/>
        <v>0</v>
      </c>
      <c r="P11" s="4">
        <v>0</v>
      </c>
      <c r="Q11" s="4">
        <v>0</v>
      </c>
      <c r="R11" s="4">
        <v>0</v>
      </c>
      <c r="S11" s="4">
        <v>0</v>
      </c>
      <c r="T11" s="2" t="s">
        <v>1779</v>
      </c>
      <c r="U11" s="2" t="s">
        <v>4095</v>
      </c>
      <c r="V11" s="2" t="s">
        <v>2</v>
      </c>
      <c r="W11" s="2" t="s">
        <v>2</v>
      </c>
    </row>
    <row r="12" spans="1:23" ht="24" customHeight="1" x14ac:dyDescent="0.3">
      <c r="A12" s="2" t="s">
        <v>77</v>
      </c>
      <c r="B12" s="11"/>
      <c r="C12" s="11"/>
      <c r="D12" s="2" t="s">
        <v>1780</v>
      </c>
      <c r="E12" s="2" t="s">
        <v>1781</v>
      </c>
      <c r="F12" s="2" t="s">
        <v>4950</v>
      </c>
      <c r="G12" s="2" t="s">
        <v>2</v>
      </c>
      <c r="H12" s="2" t="s">
        <v>27</v>
      </c>
      <c r="I12" s="2" t="s">
        <v>28</v>
      </c>
      <c r="J12" s="2" t="s">
        <v>2</v>
      </c>
      <c r="K12" s="2" t="s">
        <v>517</v>
      </c>
      <c r="L12" s="2" t="s">
        <v>551</v>
      </c>
      <c r="M12" s="4">
        <v>28</v>
      </c>
      <c r="N12" s="4">
        <v>126.1</v>
      </c>
      <c r="O12" s="4">
        <f t="shared" si="0"/>
        <v>0</v>
      </c>
      <c r="P12" s="4">
        <v>0</v>
      </c>
      <c r="Q12" s="4">
        <v>0</v>
      </c>
      <c r="R12" s="4">
        <v>0</v>
      </c>
      <c r="S12" s="4">
        <v>0</v>
      </c>
      <c r="T12" s="2" t="s">
        <v>2</v>
      </c>
      <c r="U12" s="2" t="s">
        <v>3384</v>
      </c>
      <c r="V12" s="2" t="s">
        <v>2</v>
      </c>
      <c r="W12" s="2" t="s">
        <v>510</v>
      </c>
    </row>
    <row r="13" spans="1:23" ht="24" customHeight="1" x14ac:dyDescent="0.3">
      <c r="A13" s="2" t="s">
        <v>82</v>
      </c>
      <c r="B13" s="11"/>
      <c r="C13" s="11"/>
      <c r="D13" s="2" t="s">
        <v>1708</v>
      </c>
      <c r="E13" s="2" t="s">
        <v>1709</v>
      </c>
      <c r="F13" s="2" t="s">
        <v>4951</v>
      </c>
      <c r="G13" s="2" t="s">
        <v>2</v>
      </c>
      <c r="H13" s="2" t="s">
        <v>27</v>
      </c>
      <c r="I13" s="2" t="s">
        <v>28</v>
      </c>
      <c r="J13" s="2" t="s">
        <v>2</v>
      </c>
      <c r="K13" s="2" t="s">
        <v>4952</v>
      </c>
      <c r="L13" s="2" t="s">
        <v>551</v>
      </c>
      <c r="M13" s="4">
        <v>1456</v>
      </c>
      <c r="N13" s="4">
        <v>182629.8</v>
      </c>
      <c r="O13" s="4">
        <f t="shared" si="0"/>
        <v>219.89999999999998</v>
      </c>
      <c r="P13" s="4">
        <v>56.5</v>
      </c>
      <c r="Q13" s="4">
        <v>0</v>
      </c>
      <c r="R13" s="4">
        <v>30.3</v>
      </c>
      <c r="S13" s="4">
        <v>133.1</v>
      </c>
      <c r="T13" s="2" t="s">
        <v>1711</v>
      </c>
      <c r="U13" s="2" t="s">
        <v>3588</v>
      </c>
      <c r="V13" s="2" t="s">
        <v>2</v>
      </c>
      <c r="W13" s="2" t="s">
        <v>2</v>
      </c>
    </row>
    <row r="14" spans="1:23" ht="24" customHeight="1" x14ac:dyDescent="0.3">
      <c r="A14" s="2" t="s">
        <v>87</v>
      </c>
      <c r="B14" s="11"/>
      <c r="C14" s="11"/>
      <c r="D14" s="2" t="s">
        <v>4953</v>
      </c>
      <c r="E14" s="2" t="s">
        <v>4954</v>
      </c>
      <c r="F14" s="2" t="s">
        <v>4955</v>
      </c>
      <c r="G14" s="2" t="s">
        <v>2</v>
      </c>
      <c r="H14" s="2" t="s">
        <v>27</v>
      </c>
      <c r="I14" s="2" t="s">
        <v>28</v>
      </c>
      <c r="J14" s="2" t="s">
        <v>2</v>
      </c>
      <c r="K14" s="2" t="s">
        <v>4956</v>
      </c>
      <c r="L14" s="2" t="s">
        <v>551</v>
      </c>
      <c r="M14" s="4">
        <v>6</v>
      </c>
      <c r="N14" s="4">
        <v>0</v>
      </c>
      <c r="O14" s="4">
        <f t="shared" si="0"/>
        <v>0</v>
      </c>
      <c r="P14" s="4">
        <v>0</v>
      </c>
      <c r="Q14" s="4">
        <v>0</v>
      </c>
      <c r="R14" s="4">
        <v>0</v>
      </c>
      <c r="S14" s="4">
        <v>0</v>
      </c>
      <c r="T14" s="2" t="s">
        <v>2</v>
      </c>
      <c r="U14" s="2" t="s">
        <v>814</v>
      </c>
      <c r="V14" s="2" t="s">
        <v>2</v>
      </c>
      <c r="W14" s="2" t="s">
        <v>2</v>
      </c>
    </row>
    <row r="15" spans="1:23" ht="24" customHeight="1" x14ac:dyDescent="0.3">
      <c r="A15" s="2" t="s">
        <v>92</v>
      </c>
      <c r="B15" s="11"/>
      <c r="C15" s="11"/>
      <c r="D15" s="2" t="s">
        <v>4957</v>
      </c>
      <c r="E15" s="2" t="s">
        <v>4958</v>
      </c>
      <c r="F15" s="2" t="s">
        <v>4959</v>
      </c>
      <c r="G15" s="2" t="s">
        <v>2</v>
      </c>
      <c r="H15" s="2" t="s">
        <v>27</v>
      </c>
      <c r="I15" s="2" t="s">
        <v>28</v>
      </c>
      <c r="J15" s="2" t="s">
        <v>2</v>
      </c>
      <c r="K15" s="2" t="s">
        <v>4960</v>
      </c>
      <c r="L15" s="2" t="s">
        <v>551</v>
      </c>
      <c r="M15" s="4">
        <v>6</v>
      </c>
      <c r="N15" s="4">
        <v>0</v>
      </c>
      <c r="O15" s="4">
        <f t="shared" si="0"/>
        <v>0</v>
      </c>
      <c r="P15" s="4">
        <v>0</v>
      </c>
      <c r="Q15" s="4">
        <v>0</v>
      </c>
      <c r="R15" s="4">
        <v>0</v>
      </c>
      <c r="S15" s="4">
        <v>0</v>
      </c>
      <c r="T15" s="2" t="s">
        <v>4961</v>
      </c>
      <c r="U15" s="2" t="s">
        <v>3422</v>
      </c>
      <c r="V15" s="2" t="s">
        <v>3495</v>
      </c>
      <c r="W15" s="2" t="s">
        <v>2</v>
      </c>
    </row>
    <row r="16" spans="1:23" ht="24" customHeight="1" x14ac:dyDescent="0.3">
      <c r="A16" s="2" t="s">
        <v>96</v>
      </c>
      <c r="B16" s="11"/>
      <c r="C16" s="11"/>
      <c r="D16" s="2" t="s">
        <v>4962</v>
      </c>
      <c r="E16" s="2" t="s">
        <v>4963</v>
      </c>
      <c r="F16" s="2" t="s">
        <v>4964</v>
      </c>
      <c r="G16" s="2" t="s">
        <v>2</v>
      </c>
      <c r="H16" s="2" t="s">
        <v>27</v>
      </c>
      <c r="I16" s="2" t="s">
        <v>28</v>
      </c>
      <c r="J16" s="2" t="s">
        <v>2</v>
      </c>
      <c r="K16" s="2" t="s">
        <v>566</v>
      </c>
      <c r="L16" s="2" t="s">
        <v>551</v>
      </c>
      <c r="M16" s="4">
        <v>2.6</v>
      </c>
      <c r="N16" s="4">
        <v>0.7</v>
      </c>
      <c r="O16" s="4">
        <f t="shared" si="0"/>
        <v>0.5</v>
      </c>
      <c r="P16" s="4">
        <v>0.5</v>
      </c>
      <c r="Q16" s="4">
        <v>0</v>
      </c>
      <c r="R16" s="4">
        <v>0</v>
      </c>
      <c r="S16" s="4">
        <v>0</v>
      </c>
      <c r="T16" s="2" t="s">
        <v>4965</v>
      </c>
      <c r="U16" s="2" t="s">
        <v>4230</v>
      </c>
      <c r="V16" s="2" t="s">
        <v>2</v>
      </c>
      <c r="W16" s="2" t="s">
        <v>2</v>
      </c>
    </row>
    <row r="17" spans="1:23" ht="24" customHeight="1" x14ac:dyDescent="0.3">
      <c r="A17" s="2" t="s">
        <v>102</v>
      </c>
      <c r="B17" s="11"/>
      <c r="C17" s="11"/>
      <c r="D17" s="2" t="s">
        <v>4966</v>
      </c>
      <c r="E17" s="2" t="s">
        <v>4083</v>
      </c>
      <c r="F17" s="2" t="s">
        <v>4967</v>
      </c>
      <c r="G17" s="2" t="s">
        <v>2</v>
      </c>
      <c r="H17" s="2" t="s">
        <v>27</v>
      </c>
      <c r="I17" s="2" t="s">
        <v>28</v>
      </c>
      <c r="J17" s="2" t="s">
        <v>2</v>
      </c>
      <c r="K17" s="2" t="s">
        <v>565</v>
      </c>
      <c r="L17" s="2" t="s">
        <v>551</v>
      </c>
      <c r="M17" s="4">
        <v>4.8</v>
      </c>
      <c r="N17" s="4">
        <v>3.3</v>
      </c>
      <c r="O17" s="4">
        <f t="shared" si="0"/>
        <v>2.2999999999999998</v>
      </c>
      <c r="P17" s="4">
        <v>2.2999999999999998</v>
      </c>
      <c r="Q17" s="4">
        <v>0</v>
      </c>
      <c r="R17" s="4">
        <v>0</v>
      </c>
      <c r="S17" s="4">
        <v>0</v>
      </c>
      <c r="T17" s="2" t="s">
        <v>4968</v>
      </c>
      <c r="U17" s="2" t="s">
        <v>1281</v>
      </c>
      <c r="V17" s="2" t="s">
        <v>2</v>
      </c>
      <c r="W17" s="2" t="s">
        <v>2</v>
      </c>
    </row>
    <row r="18" spans="1:23" ht="24" customHeight="1" x14ac:dyDescent="0.3">
      <c r="A18" s="2" t="s">
        <v>104</v>
      </c>
      <c r="B18" s="11"/>
      <c r="C18" s="11"/>
      <c r="D18" s="2" t="s">
        <v>4969</v>
      </c>
      <c r="E18" s="2" t="s">
        <v>4970</v>
      </c>
      <c r="F18" s="2" t="s">
        <v>4971</v>
      </c>
      <c r="G18" s="2" t="s">
        <v>2</v>
      </c>
      <c r="H18" s="2" t="s">
        <v>27</v>
      </c>
      <c r="I18" s="2" t="s">
        <v>28</v>
      </c>
      <c r="J18" s="2" t="s">
        <v>2</v>
      </c>
      <c r="K18" s="2" t="s">
        <v>565</v>
      </c>
      <c r="L18" s="2" t="s">
        <v>551</v>
      </c>
      <c r="M18" s="4">
        <v>50</v>
      </c>
      <c r="N18" s="4">
        <v>0</v>
      </c>
      <c r="O18" s="4">
        <f t="shared" si="0"/>
        <v>0</v>
      </c>
      <c r="P18" s="4">
        <v>0</v>
      </c>
      <c r="Q18" s="4">
        <v>0</v>
      </c>
      <c r="R18" s="4">
        <v>0</v>
      </c>
      <c r="S18" s="4">
        <v>0</v>
      </c>
      <c r="T18" s="2" t="s">
        <v>4972</v>
      </c>
      <c r="U18" s="2" t="s">
        <v>4081</v>
      </c>
      <c r="V18" s="2" t="s">
        <v>2</v>
      </c>
      <c r="W18" s="2" t="s">
        <v>2</v>
      </c>
    </row>
    <row r="19" spans="1:23" ht="24" customHeight="1" x14ac:dyDescent="0.3">
      <c r="A19" s="2" t="s">
        <v>105</v>
      </c>
      <c r="B19" s="11"/>
      <c r="C19" s="11"/>
      <c r="D19" s="2" t="s">
        <v>4973</v>
      </c>
      <c r="E19" s="2" t="s">
        <v>1561</v>
      </c>
      <c r="F19" s="2" t="s">
        <v>4974</v>
      </c>
      <c r="G19" s="2" t="s">
        <v>2</v>
      </c>
      <c r="H19" s="2" t="s">
        <v>27</v>
      </c>
      <c r="I19" s="2" t="s">
        <v>28</v>
      </c>
      <c r="J19" s="2" t="s">
        <v>2</v>
      </c>
      <c r="K19" s="2" t="s">
        <v>4975</v>
      </c>
      <c r="L19" s="2" t="s">
        <v>551</v>
      </c>
      <c r="M19" s="4">
        <v>12</v>
      </c>
      <c r="N19" s="4">
        <v>855.5</v>
      </c>
      <c r="O19" s="4">
        <f t="shared" si="0"/>
        <v>289</v>
      </c>
      <c r="P19" s="4">
        <v>178.4</v>
      </c>
      <c r="Q19" s="4">
        <v>0</v>
      </c>
      <c r="R19" s="4">
        <v>0</v>
      </c>
      <c r="S19" s="4">
        <v>110.6</v>
      </c>
      <c r="T19" s="2" t="s">
        <v>4976</v>
      </c>
      <c r="U19" s="2" t="s">
        <v>1002</v>
      </c>
      <c r="V19" s="2" t="s">
        <v>2</v>
      </c>
      <c r="W19" s="2" t="s">
        <v>2</v>
      </c>
    </row>
    <row r="20" spans="1:23" ht="24" customHeight="1" x14ac:dyDescent="0.3">
      <c r="A20" s="2" t="s">
        <v>106</v>
      </c>
      <c r="B20" s="11"/>
      <c r="C20" s="11"/>
      <c r="D20" s="2" t="s">
        <v>4977</v>
      </c>
      <c r="E20" s="2" t="s">
        <v>4978</v>
      </c>
      <c r="F20" s="2" t="s">
        <v>4979</v>
      </c>
      <c r="G20" s="2" t="s">
        <v>2</v>
      </c>
      <c r="H20" s="2" t="s">
        <v>27</v>
      </c>
      <c r="I20" s="2" t="s">
        <v>28</v>
      </c>
      <c r="J20" s="2" t="s">
        <v>2</v>
      </c>
      <c r="K20" s="2" t="s">
        <v>565</v>
      </c>
      <c r="L20" s="2" t="s">
        <v>551</v>
      </c>
      <c r="M20" s="4">
        <v>2</v>
      </c>
      <c r="N20" s="4">
        <v>0.3</v>
      </c>
      <c r="O20" s="4">
        <f t="shared" si="0"/>
        <v>0</v>
      </c>
      <c r="P20" s="4">
        <v>0</v>
      </c>
      <c r="Q20" s="4">
        <v>0</v>
      </c>
      <c r="R20" s="4">
        <v>0</v>
      </c>
      <c r="S20" s="4">
        <v>0</v>
      </c>
      <c r="T20" s="2" t="s">
        <v>4980</v>
      </c>
      <c r="U20" s="2" t="s">
        <v>4981</v>
      </c>
      <c r="V20" s="2" t="s">
        <v>2</v>
      </c>
      <c r="W20" s="2" t="s">
        <v>2</v>
      </c>
    </row>
    <row r="21" spans="1:23" ht="24" customHeight="1" x14ac:dyDescent="0.3">
      <c r="A21" s="2" t="s">
        <v>107</v>
      </c>
      <c r="B21" s="11"/>
      <c r="C21" s="11"/>
      <c r="D21" s="2" t="s">
        <v>1868</v>
      </c>
      <c r="E21" s="2" t="s">
        <v>1869</v>
      </c>
      <c r="F21" s="2" t="s">
        <v>4982</v>
      </c>
      <c r="G21" s="2" t="s">
        <v>2</v>
      </c>
      <c r="H21" s="2" t="s">
        <v>27</v>
      </c>
      <c r="I21" s="2" t="s">
        <v>28</v>
      </c>
      <c r="J21" s="2" t="s">
        <v>2</v>
      </c>
      <c r="K21" s="2" t="s">
        <v>298</v>
      </c>
      <c r="L21" s="2" t="s">
        <v>551</v>
      </c>
      <c r="M21" s="4">
        <v>128</v>
      </c>
      <c r="N21" s="4">
        <v>7801.1</v>
      </c>
      <c r="O21" s="4">
        <f t="shared" si="0"/>
        <v>3244.7</v>
      </c>
      <c r="P21" s="4">
        <v>3244.7</v>
      </c>
      <c r="Q21" s="4">
        <v>0</v>
      </c>
      <c r="R21" s="4">
        <v>0</v>
      </c>
      <c r="S21" s="4">
        <v>0</v>
      </c>
      <c r="T21" s="2" t="s">
        <v>1871</v>
      </c>
      <c r="U21" s="2" t="s">
        <v>3609</v>
      </c>
      <c r="V21" s="2" t="s">
        <v>2</v>
      </c>
      <c r="W21" s="2" t="s">
        <v>2</v>
      </c>
    </row>
    <row r="22" spans="1:23" ht="24" customHeight="1" x14ac:dyDescent="0.3">
      <c r="A22" s="2" t="s">
        <v>108</v>
      </c>
      <c r="B22" s="11"/>
      <c r="C22" s="11"/>
      <c r="D22" s="2" t="s">
        <v>4983</v>
      </c>
      <c r="E22" s="2" t="s">
        <v>1732</v>
      </c>
      <c r="F22" s="2" t="s">
        <v>4984</v>
      </c>
      <c r="G22" s="2" t="s">
        <v>2</v>
      </c>
      <c r="H22" s="2" t="s">
        <v>27</v>
      </c>
      <c r="I22" s="2" t="s">
        <v>28</v>
      </c>
      <c r="J22" s="2" t="s">
        <v>2</v>
      </c>
      <c r="K22" s="2" t="s">
        <v>517</v>
      </c>
      <c r="L22" s="2" t="s">
        <v>551</v>
      </c>
      <c r="M22" s="4">
        <v>15</v>
      </c>
      <c r="N22" s="4">
        <v>142.80000000000001</v>
      </c>
      <c r="O22" s="4">
        <f t="shared" si="0"/>
        <v>0</v>
      </c>
      <c r="P22" s="4">
        <v>0</v>
      </c>
      <c r="Q22" s="4">
        <v>0</v>
      </c>
      <c r="R22" s="4">
        <v>0</v>
      </c>
      <c r="S22" s="4">
        <v>0</v>
      </c>
      <c r="T22" s="2" t="s">
        <v>1734</v>
      </c>
      <c r="U22" s="2" t="s">
        <v>3378</v>
      </c>
      <c r="V22" s="2" t="s">
        <v>2</v>
      </c>
      <c r="W22" s="2" t="s">
        <v>2</v>
      </c>
    </row>
    <row r="23" spans="1:23" ht="24" customHeight="1" x14ac:dyDescent="0.3">
      <c r="A23" s="2" t="s">
        <v>109</v>
      </c>
      <c r="B23" s="11"/>
      <c r="C23" s="11"/>
      <c r="D23" s="2" t="s">
        <v>4985</v>
      </c>
      <c r="E23" s="2" t="s">
        <v>4986</v>
      </c>
      <c r="F23" s="2" t="s">
        <v>4987</v>
      </c>
      <c r="G23" s="2" t="s">
        <v>2</v>
      </c>
      <c r="H23" s="2" t="s">
        <v>27</v>
      </c>
      <c r="I23" s="2" t="s">
        <v>28</v>
      </c>
      <c r="J23" s="2" t="s">
        <v>2</v>
      </c>
      <c r="K23" s="2" t="s">
        <v>4574</v>
      </c>
      <c r="L23" s="2" t="s">
        <v>551</v>
      </c>
      <c r="M23" s="4">
        <v>6.8</v>
      </c>
      <c r="N23" s="4">
        <v>79.5</v>
      </c>
      <c r="O23" s="4">
        <f t="shared" si="0"/>
        <v>0</v>
      </c>
      <c r="P23" s="4">
        <v>0</v>
      </c>
      <c r="Q23" s="4">
        <v>0</v>
      </c>
      <c r="R23" s="4">
        <v>0</v>
      </c>
      <c r="S23" s="4">
        <v>0</v>
      </c>
      <c r="T23" s="2" t="s">
        <v>4988</v>
      </c>
      <c r="U23" s="2" t="s">
        <v>290</v>
      </c>
      <c r="V23" s="2" t="s">
        <v>2</v>
      </c>
      <c r="W23" s="2" t="s">
        <v>2</v>
      </c>
    </row>
    <row r="24" spans="1:23" ht="24" customHeight="1" x14ac:dyDescent="0.3">
      <c r="A24" s="2" t="s">
        <v>110</v>
      </c>
      <c r="B24" s="11"/>
      <c r="C24" s="11"/>
      <c r="D24" s="2" t="s">
        <v>4989</v>
      </c>
      <c r="E24" s="2" t="s">
        <v>1842</v>
      </c>
      <c r="F24" s="2" t="s">
        <v>4990</v>
      </c>
      <c r="G24" s="2" t="s">
        <v>2</v>
      </c>
      <c r="H24" s="2" t="s">
        <v>27</v>
      </c>
      <c r="I24" s="2" t="s">
        <v>28</v>
      </c>
      <c r="J24" s="2" t="s">
        <v>2</v>
      </c>
      <c r="K24" s="2" t="s">
        <v>519</v>
      </c>
      <c r="L24" s="2" t="s">
        <v>551</v>
      </c>
      <c r="M24" s="4">
        <v>35</v>
      </c>
      <c r="N24" s="4">
        <v>167.6</v>
      </c>
      <c r="O24" s="4">
        <f t="shared" si="0"/>
        <v>0</v>
      </c>
      <c r="P24" s="4">
        <v>0</v>
      </c>
      <c r="Q24" s="4">
        <v>0</v>
      </c>
      <c r="R24" s="4">
        <v>0</v>
      </c>
      <c r="S24" s="4">
        <v>0</v>
      </c>
      <c r="T24" s="2" t="s">
        <v>4991</v>
      </c>
      <c r="U24" s="2" t="s">
        <v>1101</v>
      </c>
      <c r="V24" s="2" t="s">
        <v>2</v>
      </c>
      <c r="W24" s="2" t="s">
        <v>510</v>
      </c>
    </row>
    <row r="25" spans="1:23" ht="24" customHeight="1" x14ac:dyDescent="0.3">
      <c r="A25" s="2" t="s">
        <v>111</v>
      </c>
      <c r="B25" s="11"/>
      <c r="C25" s="11"/>
      <c r="D25" s="2" t="s">
        <v>4992</v>
      </c>
      <c r="E25" s="2" t="s">
        <v>4993</v>
      </c>
      <c r="F25" s="2" t="s">
        <v>4994</v>
      </c>
      <c r="G25" s="2" t="s">
        <v>2</v>
      </c>
      <c r="H25" s="2" t="s">
        <v>27</v>
      </c>
      <c r="I25" s="2" t="s">
        <v>28</v>
      </c>
      <c r="J25" s="2" t="s">
        <v>2</v>
      </c>
      <c r="K25" s="2" t="s">
        <v>531</v>
      </c>
      <c r="L25" s="2" t="s">
        <v>551</v>
      </c>
      <c r="M25" s="4">
        <v>3</v>
      </c>
      <c r="N25" s="4">
        <v>0</v>
      </c>
      <c r="O25" s="4">
        <f t="shared" si="0"/>
        <v>0</v>
      </c>
      <c r="P25" s="4">
        <v>0</v>
      </c>
      <c r="Q25" s="4">
        <v>0</v>
      </c>
      <c r="R25" s="4">
        <v>0</v>
      </c>
      <c r="S25" s="4">
        <v>0</v>
      </c>
      <c r="T25" s="2" t="s">
        <v>4995</v>
      </c>
      <c r="U25" s="2" t="s">
        <v>3508</v>
      </c>
      <c r="V25" s="2" t="s">
        <v>1880</v>
      </c>
      <c r="W25" s="2" t="s">
        <v>2</v>
      </c>
    </row>
    <row r="26" spans="1:23" ht="24" customHeight="1" x14ac:dyDescent="0.3">
      <c r="A26" s="2" t="s">
        <v>112</v>
      </c>
      <c r="B26" s="11"/>
      <c r="C26" s="11"/>
      <c r="D26" s="2" t="s">
        <v>4996</v>
      </c>
      <c r="E26" s="2" t="s">
        <v>3506</v>
      </c>
      <c r="F26" s="2" t="s">
        <v>4997</v>
      </c>
      <c r="G26" s="2" t="s">
        <v>2</v>
      </c>
      <c r="H26" s="2" t="s">
        <v>27</v>
      </c>
      <c r="I26" s="2" t="s">
        <v>28</v>
      </c>
      <c r="J26" s="2" t="s">
        <v>2</v>
      </c>
      <c r="K26" s="2" t="s">
        <v>4998</v>
      </c>
      <c r="L26" s="2" t="s">
        <v>551</v>
      </c>
      <c r="M26" s="4">
        <v>30</v>
      </c>
      <c r="N26" s="4">
        <v>409.8</v>
      </c>
      <c r="O26" s="4">
        <f t="shared" si="0"/>
        <v>1.1000000000000001</v>
      </c>
      <c r="P26" s="4">
        <v>1.1000000000000001</v>
      </c>
      <c r="Q26" s="4">
        <v>0</v>
      </c>
      <c r="R26" s="4">
        <v>0</v>
      </c>
      <c r="S26" s="4">
        <v>0</v>
      </c>
      <c r="T26" s="2" t="s">
        <v>4999</v>
      </c>
      <c r="U26" s="2" t="s">
        <v>3645</v>
      </c>
      <c r="V26" s="2" t="s">
        <v>2</v>
      </c>
      <c r="W26" s="2" t="s">
        <v>2</v>
      </c>
    </row>
    <row r="27" spans="1:23" ht="24" customHeight="1" x14ac:dyDescent="0.3">
      <c r="A27" s="2" t="s">
        <v>113</v>
      </c>
      <c r="B27" s="11"/>
      <c r="C27" s="11"/>
      <c r="D27" s="2" t="s">
        <v>5000</v>
      </c>
      <c r="E27" s="2" t="s">
        <v>5001</v>
      </c>
      <c r="F27" s="2" t="s">
        <v>5002</v>
      </c>
      <c r="G27" s="2" t="s">
        <v>2</v>
      </c>
      <c r="H27" s="2" t="s">
        <v>27</v>
      </c>
      <c r="I27" s="2" t="s">
        <v>28</v>
      </c>
      <c r="J27" s="2" t="s">
        <v>2</v>
      </c>
      <c r="K27" s="2" t="s">
        <v>298</v>
      </c>
      <c r="L27" s="2" t="s">
        <v>551</v>
      </c>
      <c r="M27" s="4">
        <v>3</v>
      </c>
      <c r="N27" s="4">
        <v>6.4</v>
      </c>
      <c r="O27" s="4">
        <f t="shared" si="0"/>
        <v>0</v>
      </c>
      <c r="P27" s="4">
        <v>0</v>
      </c>
      <c r="Q27" s="4">
        <v>0</v>
      </c>
      <c r="R27" s="4">
        <v>0</v>
      </c>
      <c r="S27" s="4">
        <v>0</v>
      </c>
      <c r="T27" s="2" t="s">
        <v>2</v>
      </c>
      <c r="U27" s="2" t="s">
        <v>3415</v>
      </c>
      <c r="V27" s="2" t="s">
        <v>2</v>
      </c>
      <c r="W27" s="2" t="s">
        <v>131</v>
      </c>
    </row>
    <row r="28" spans="1:23" ht="24" customHeight="1" x14ac:dyDescent="0.3">
      <c r="A28" s="2" t="s">
        <v>114</v>
      </c>
      <c r="B28" s="11"/>
      <c r="C28" s="11"/>
      <c r="D28" s="2" t="s">
        <v>5003</v>
      </c>
      <c r="E28" s="2" t="s">
        <v>5004</v>
      </c>
      <c r="F28" s="2" t="s">
        <v>5005</v>
      </c>
      <c r="G28" s="2" t="s">
        <v>2</v>
      </c>
      <c r="H28" s="2" t="s">
        <v>27</v>
      </c>
      <c r="I28" s="2" t="s">
        <v>28</v>
      </c>
      <c r="J28" s="2" t="s">
        <v>2</v>
      </c>
      <c r="K28" s="2" t="s">
        <v>5006</v>
      </c>
      <c r="L28" s="2" t="s">
        <v>551</v>
      </c>
      <c r="M28" s="4">
        <v>24</v>
      </c>
      <c r="N28" s="4">
        <v>178.1</v>
      </c>
      <c r="O28" s="4">
        <f t="shared" si="0"/>
        <v>55.4</v>
      </c>
      <c r="P28" s="4">
        <v>23.9</v>
      </c>
      <c r="Q28" s="4">
        <v>0</v>
      </c>
      <c r="R28" s="4">
        <v>0</v>
      </c>
      <c r="S28" s="4">
        <v>31.5</v>
      </c>
      <c r="T28" s="2" t="s">
        <v>5007</v>
      </c>
      <c r="U28" s="2" t="s">
        <v>3435</v>
      </c>
      <c r="V28" s="2" t="s">
        <v>2</v>
      </c>
      <c r="W28" s="2" t="s">
        <v>2</v>
      </c>
    </row>
    <row r="29" spans="1:23" ht="24" customHeight="1" x14ac:dyDescent="0.3">
      <c r="A29" s="2" t="s">
        <v>115</v>
      </c>
      <c r="B29" s="11"/>
      <c r="C29" s="11"/>
      <c r="D29" s="2" t="s">
        <v>5008</v>
      </c>
      <c r="E29" s="2" t="s">
        <v>3511</v>
      </c>
      <c r="F29" s="2" t="s">
        <v>5009</v>
      </c>
      <c r="G29" s="2" t="s">
        <v>2</v>
      </c>
      <c r="H29" s="2" t="s">
        <v>27</v>
      </c>
      <c r="I29" s="2" t="s">
        <v>28</v>
      </c>
      <c r="J29" s="2" t="s">
        <v>2</v>
      </c>
      <c r="K29" s="2" t="s">
        <v>565</v>
      </c>
      <c r="L29" s="2" t="s">
        <v>551</v>
      </c>
      <c r="M29" s="4">
        <v>4.7</v>
      </c>
      <c r="N29" s="4">
        <v>0</v>
      </c>
      <c r="O29" s="4">
        <f t="shared" si="0"/>
        <v>0</v>
      </c>
      <c r="P29" s="4">
        <v>0</v>
      </c>
      <c r="Q29" s="4">
        <v>0</v>
      </c>
      <c r="R29" s="4">
        <v>0</v>
      </c>
      <c r="S29" s="4">
        <v>0</v>
      </c>
      <c r="T29" s="2" t="s">
        <v>5010</v>
      </c>
      <c r="U29" s="2" t="s">
        <v>129</v>
      </c>
      <c r="V29" s="2" t="s">
        <v>2</v>
      </c>
      <c r="W29" s="2" t="s">
        <v>2</v>
      </c>
    </row>
    <row r="30" spans="1:23" ht="24" customHeight="1" x14ac:dyDescent="0.3">
      <c r="A30" s="2" t="s">
        <v>116</v>
      </c>
      <c r="B30" s="11"/>
      <c r="C30" s="11"/>
      <c r="D30" s="2" t="s">
        <v>5011</v>
      </c>
      <c r="E30" s="2" t="s">
        <v>438</v>
      </c>
      <c r="F30" s="2" t="s">
        <v>5012</v>
      </c>
      <c r="G30" s="2" t="s">
        <v>2</v>
      </c>
      <c r="H30" s="2" t="s">
        <v>27</v>
      </c>
      <c r="I30" s="2" t="s">
        <v>28</v>
      </c>
      <c r="J30" s="2" t="s">
        <v>2</v>
      </c>
      <c r="K30" s="2" t="s">
        <v>565</v>
      </c>
      <c r="L30" s="2" t="s">
        <v>551</v>
      </c>
      <c r="M30" s="4">
        <v>50</v>
      </c>
      <c r="N30" s="4">
        <v>6040.2</v>
      </c>
      <c r="O30" s="4">
        <f t="shared" si="0"/>
        <v>247.8</v>
      </c>
      <c r="P30" s="4">
        <v>247.8</v>
      </c>
      <c r="Q30" s="4">
        <v>0</v>
      </c>
      <c r="R30" s="4">
        <v>0</v>
      </c>
      <c r="S30" s="4">
        <v>0</v>
      </c>
      <c r="T30" s="2" t="s">
        <v>5013</v>
      </c>
      <c r="U30" s="2" t="s">
        <v>3544</v>
      </c>
      <c r="V30" s="2" t="s">
        <v>2</v>
      </c>
      <c r="W30" s="2" t="s">
        <v>2</v>
      </c>
    </row>
    <row r="31" spans="1:23" ht="24" customHeight="1" x14ac:dyDescent="0.3">
      <c r="A31" s="2" t="s">
        <v>117</v>
      </c>
      <c r="B31" s="11"/>
      <c r="C31" s="11"/>
      <c r="D31" s="2" t="s">
        <v>5014</v>
      </c>
      <c r="E31" s="2" t="s">
        <v>5015</v>
      </c>
      <c r="F31" s="2" t="s">
        <v>5016</v>
      </c>
      <c r="G31" s="2" t="s">
        <v>2</v>
      </c>
      <c r="H31" s="2" t="s">
        <v>27</v>
      </c>
      <c r="I31" s="2" t="s">
        <v>28</v>
      </c>
      <c r="J31" s="2" t="s">
        <v>2</v>
      </c>
      <c r="K31" s="2" t="s">
        <v>520</v>
      </c>
      <c r="L31" s="2" t="s">
        <v>551</v>
      </c>
      <c r="M31" s="4">
        <v>12</v>
      </c>
      <c r="N31" s="4">
        <v>0</v>
      </c>
      <c r="O31" s="4">
        <f t="shared" si="0"/>
        <v>0</v>
      </c>
      <c r="P31" s="4">
        <v>0</v>
      </c>
      <c r="Q31" s="4">
        <v>0</v>
      </c>
      <c r="R31" s="4">
        <v>0</v>
      </c>
      <c r="S31" s="4">
        <v>0</v>
      </c>
      <c r="T31" s="2" t="s">
        <v>2</v>
      </c>
      <c r="U31" s="2" t="s">
        <v>1924</v>
      </c>
      <c r="V31" s="2" t="s">
        <v>2</v>
      </c>
      <c r="W31" s="2" t="s">
        <v>2</v>
      </c>
    </row>
    <row r="32" spans="1:23" ht="24" customHeight="1" x14ac:dyDescent="0.3">
      <c r="A32" s="2" t="s">
        <v>118</v>
      </c>
      <c r="B32" s="11"/>
      <c r="C32" s="11"/>
      <c r="D32" s="2" t="s">
        <v>5017</v>
      </c>
      <c r="E32" s="2" t="s">
        <v>5018</v>
      </c>
      <c r="F32" s="2" t="s">
        <v>5019</v>
      </c>
      <c r="G32" s="2" t="s">
        <v>2</v>
      </c>
      <c r="H32" s="2" t="s">
        <v>27</v>
      </c>
      <c r="I32" s="2" t="s">
        <v>28</v>
      </c>
      <c r="J32" s="2" t="s">
        <v>2</v>
      </c>
      <c r="K32" s="2" t="s">
        <v>565</v>
      </c>
      <c r="L32" s="2" t="s">
        <v>551</v>
      </c>
      <c r="M32" s="4">
        <v>1</v>
      </c>
      <c r="N32" s="4">
        <v>0</v>
      </c>
      <c r="O32" s="4">
        <f t="shared" si="0"/>
        <v>0</v>
      </c>
      <c r="P32" s="4">
        <v>0</v>
      </c>
      <c r="Q32" s="4">
        <v>0</v>
      </c>
      <c r="R32" s="4">
        <v>0</v>
      </c>
      <c r="S32" s="4">
        <v>0</v>
      </c>
      <c r="T32" s="2" t="s">
        <v>2</v>
      </c>
      <c r="U32" s="2" t="s">
        <v>5020</v>
      </c>
      <c r="V32" s="2" t="s">
        <v>2</v>
      </c>
      <c r="W32" s="2" t="s">
        <v>2</v>
      </c>
    </row>
    <row r="33" spans="1:23" ht="24" customHeight="1" x14ac:dyDescent="0.3">
      <c r="A33" s="2" t="s">
        <v>119</v>
      </c>
      <c r="B33" s="11"/>
      <c r="C33" s="11"/>
      <c r="D33" s="2" t="s">
        <v>5021</v>
      </c>
      <c r="E33" s="2" t="s">
        <v>5022</v>
      </c>
      <c r="F33" s="2" t="s">
        <v>5023</v>
      </c>
      <c r="G33" s="2" t="s">
        <v>2</v>
      </c>
      <c r="H33" s="2" t="s">
        <v>27</v>
      </c>
      <c r="I33" s="2" t="s">
        <v>28</v>
      </c>
      <c r="J33" s="2" t="s">
        <v>2</v>
      </c>
      <c r="K33" s="2" t="s">
        <v>298</v>
      </c>
      <c r="L33" s="2" t="s">
        <v>551</v>
      </c>
      <c r="M33" s="4">
        <v>27.2</v>
      </c>
      <c r="N33" s="4">
        <v>0</v>
      </c>
      <c r="O33" s="4">
        <f t="shared" si="0"/>
        <v>0</v>
      </c>
      <c r="P33" s="4">
        <v>0</v>
      </c>
      <c r="Q33" s="4">
        <v>0</v>
      </c>
      <c r="R33" s="4">
        <v>0</v>
      </c>
      <c r="S33" s="4">
        <v>0</v>
      </c>
      <c r="T33" s="2" t="s">
        <v>5024</v>
      </c>
      <c r="U33" s="2" t="s">
        <v>1924</v>
      </c>
      <c r="V33" s="2" t="s">
        <v>3591</v>
      </c>
      <c r="W33" s="2" t="s">
        <v>2</v>
      </c>
    </row>
    <row r="34" spans="1:23" ht="24" customHeight="1" x14ac:dyDescent="0.3">
      <c r="A34" s="2" t="s">
        <v>120</v>
      </c>
      <c r="B34" s="11"/>
      <c r="C34" s="11"/>
      <c r="D34" s="2" t="s">
        <v>5025</v>
      </c>
      <c r="E34" s="2" t="s">
        <v>5026</v>
      </c>
      <c r="F34" s="2" t="s">
        <v>5027</v>
      </c>
      <c r="G34" s="2" t="s">
        <v>2</v>
      </c>
      <c r="H34" s="2" t="s">
        <v>27</v>
      </c>
      <c r="I34" s="2" t="s">
        <v>28</v>
      </c>
      <c r="J34" s="2" t="s">
        <v>2</v>
      </c>
      <c r="K34" s="2" t="s">
        <v>5028</v>
      </c>
      <c r="L34" s="2" t="s">
        <v>551</v>
      </c>
      <c r="M34" s="4">
        <v>6</v>
      </c>
      <c r="N34" s="4">
        <v>0</v>
      </c>
      <c r="O34" s="4">
        <f t="shared" si="0"/>
        <v>0</v>
      </c>
      <c r="P34" s="4">
        <v>0</v>
      </c>
      <c r="Q34" s="4">
        <v>0</v>
      </c>
      <c r="R34" s="4">
        <v>0</v>
      </c>
      <c r="S34" s="4">
        <v>0</v>
      </c>
      <c r="T34" s="2" t="s">
        <v>5029</v>
      </c>
      <c r="U34" s="2" t="s">
        <v>1058</v>
      </c>
      <c r="V34" s="2" t="s">
        <v>2</v>
      </c>
      <c r="W34" s="2" t="s">
        <v>510</v>
      </c>
    </row>
    <row r="35" spans="1:23" ht="24" customHeight="1" x14ac:dyDescent="0.3">
      <c r="A35" s="2" t="s">
        <v>123</v>
      </c>
      <c r="B35" s="11"/>
      <c r="C35" s="11"/>
      <c r="D35" s="2" t="s">
        <v>5030</v>
      </c>
      <c r="E35" s="2" t="s">
        <v>5031</v>
      </c>
      <c r="F35" s="2" t="s">
        <v>5032</v>
      </c>
      <c r="G35" s="2" t="s">
        <v>2</v>
      </c>
      <c r="H35" s="2" t="s">
        <v>27</v>
      </c>
      <c r="I35" s="2" t="s">
        <v>28</v>
      </c>
      <c r="J35" s="2" t="s">
        <v>2</v>
      </c>
      <c r="K35" s="2" t="s">
        <v>5033</v>
      </c>
      <c r="L35" s="2" t="s">
        <v>551</v>
      </c>
      <c r="M35" s="4">
        <v>60</v>
      </c>
      <c r="N35" s="4">
        <v>6874.8</v>
      </c>
      <c r="O35" s="4">
        <f t="shared" si="0"/>
        <v>58.1</v>
      </c>
      <c r="P35" s="4">
        <v>58.1</v>
      </c>
      <c r="Q35" s="4">
        <v>0</v>
      </c>
      <c r="R35" s="4">
        <v>0</v>
      </c>
      <c r="S35" s="4">
        <v>0</v>
      </c>
      <c r="T35" s="2" t="s">
        <v>5034</v>
      </c>
      <c r="U35" s="2" t="s">
        <v>4598</v>
      </c>
      <c r="V35" s="2" t="s">
        <v>2</v>
      </c>
      <c r="W35" s="2" t="s">
        <v>2</v>
      </c>
    </row>
    <row r="36" spans="1:23" ht="24" customHeight="1" x14ac:dyDescent="0.3">
      <c r="A36" s="2" t="s">
        <v>135</v>
      </c>
      <c r="B36" s="11"/>
      <c r="C36" s="11"/>
      <c r="D36" s="2" t="s">
        <v>4762</v>
      </c>
      <c r="E36" s="2" t="s">
        <v>4763</v>
      </c>
      <c r="F36" s="2" t="s">
        <v>5035</v>
      </c>
      <c r="G36" s="2" t="s">
        <v>2</v>
      </c>
      <c r="H36" s="2" t="s">
        <v>27</v>
      </c>
      <c r="I36" s="2" t="s">
        <v>28</v>
      </c>
      <c r="J36" s="2" t="s">
        <v>2</v>
      </c>
      <c r="K36" s="2" t="s">
        <v>5036</v>
      </c>
      <c r="L36" s="2" t="s">
        <v>551</v>
      </c>
      <c r="M36" s="4">
        <v>40</v>
      </c>
      <c r="N36" s="4">
        <v>9435.1</v>
      </c>
      <c r="O36" s="4">
        <f t="shared" si="0"/>
        <v>104.6</v>
      </c>
      <c r="P36" s="4">
        <v>104.6</v>
      </c>
      <c r="Q36" s="4">
        <v>0</v>
      </c>
      <c r="R36" s="4">
        <v>0</v>
      </c>
      <c r="S36" s="4">
        <v>0</v>
      </c>
      <c r="T36" s="2" t="s">
        <v>4765</v>
      </c>
      <c r="U36" s="2" t="s">
        <v>3399</v>
      </c>
      <c r="V36" s="2" t="s">
        <v>2</v>
      </c>
      <c r="W36" s="2" t="s">
        <v>2</v>
      </c>
    </row>
    <row r="37" spans="1:23" ht="24" customHeight="1" x14ac:dyDescent="0.3">
      <c r="A37" s="2" t="s">
        <v>136</v>
      </c>
      <c r="B37" s="11"/>
      <c r="C37" s="11"/>
      <c r="D37" s="2" t="s">
        <v>2120</v>
      </c>
      <c r="E37" s="2" t="s">
        <v>2121</v>
      </c>
      <c r="F37" s="2" t="s">
        <v>5037</v>
      </c>
      <c r="G37" s="2" t="s">
        <v>2</v>
      </c>
      <c r="H37" s="2" t="s">
        <v>27</v>
      </c>
      <c r="I37" s="2" t="s">
        <v>28</v>
      </c>
      <c r="J37" s="2" t="s">
        <v>2</v>
      </c>
      <c r="K37" s="2" t="s">
        <v>531</v>
      </c>
      <c r="L37" s="2" t="s">
        <v>551</v>
      </c>
      <c r="M37" s="4">
        <v>32</v>
      </c>
      <c r="N37" s="4">
        <v>157.5</v>
      </c>
      <c r="O37" s="4">
        <f t="shared" si="0"/>
        <v>18.5</v>
      </c>
      <c r="P37" s="4">
        <v>0</v>
      </c>
      <c r="Q37" s="4">
        <v>18.5</v>
      </c>
      <c r="R37" s="4">
        <v>0</v>
      </c>
      <c r="S37" s="4">
        <v>0</v>
      </c>
      <c r="T37" s="2" t="s">
        <v>5038</v>
      </c>
      <c r="U37" s="2" t="s">
        <v>3659</v>
      </c>
      <c r="V37" s="2" t="s">
        <v>2</v>
      </c>
      <c r="W37" s="2" t="s">
        <v>2</v>
      </c>
    </row>
    <row r="38" spans="1:23" ht="24" customHeight="1" x14ac:dyDescent="0.3">
      <c r="A38" s="2" t="s">
        <v>137</v>
      </c>
      <c r="B38" s="11"/>
      <c r="C38" s="11"/>
      <c r="D38" s="2" t="s">
        <v>5039</v>
      </c>
      <c r="E38" s="2" t="s">
        <v>5040</v>
      </c>
      <c r="F38" s="2" t="s">
        <v>5041</v>
      </c>
      <c r="G38" s="2" t="s">
        <v>2</v>
      </c>
      <c r="H38" s="2" t="s">
        <v>27</v>
      </c>
      <c r="I38" s="2" t="s">
        <v>28</v>
      </c>
      <c r="J38" s="2" t="s">
        <v>2</v>
      </c>
      <c r="K38" s="2" t="s">
        <v>565</v>
      </c>
      <c r="L38" s="2" t="s">
        <v>551</v>
      </c>
      <c r="M38" s="4">
        <v>55</v>
      </c>
      <c r="N38" s="4">
        <v>7715.3</v>
      </c>
      <c r="O38" s="4">
        <f t="shared" si="0"/>
        <v>176.2</v>
      </c>
      <c r="P38" s="4">
        <v>176.2</v>
      </c>
      <c r="Q38" s="4">
        <v>0</v>
      </c>
      <c r="R38" s="4">
        <v>0</v>
      </c>
      <c r="S38" s="4">
        <v>0</v>
      </c>
      <c r="T38" s="2" t="s">
        <v>4769</v>
      </c>
      <c r="U38" s="2" t="s">
        <v>158</v>
      </c>
      <c r="V38" s="2" t="s">
        <v>2</v>
      </c>
      <c r="W38" s="2" t="s">
        <v>2</v>
      </c>
    </row>
    <row r="39" spans="1:23" ht="24" customHeight="1" x14ac:dyDescent="0.3">
      <c r="A39" s="2" t="s">
        <v>138</v>
      </c>
      <c r="B39" s="11"/>
      <c r="C39" s="11"/>
      <c r="D39" s="2" t="s">
        <v>5042</v>
      </c>
      <c r="E39" s="2" t="s">
        <v>4566</v>
      </c>
      <c r="F39" s="2" t="s">
        <v>5043</v>
      </c>
      <c r="G39" s="2" t="s">
        <v>2</v>
      </c>
      <c r="H39" s="2" t="s">
        <v>27</v>
      </c>
      <c r="I39" s="2" t="s">
        <v>28</v>
      </c>
      <c r="J39" s="2" t="s">
        <v>2</v>
      </c>
      <c r="K39" s="2" t="s">
        <v>5044</v>
      </c>
      <c r="L39" s="2" t="s">
        <v>551</v>
      </c>
      <c r="M39" s="4">
        <v>32</v>
      </c>
      <c r="N39" s="4">
        <v>3976.7</v>
      </c>
      <c r="O39" s="4">
        <f t="shared" si="0"/>
        <v>207</v>
      </c>
      <c r="P39" s="4">
        <v>87.4</v>
      </c>
      <c r="Q39" s="4">
        <v>61</v>
      </c>
      <c r="R39" s="4">
        <v>58.6</v>
      </c>
      <c r="S39" s="4">
        <v>0</v>
      </c>
      <c r="T39" s="2" t="s">
        <v>5045</v>
      </c>
      <c r="U39" s="2" t="s">
        <v>4935</v>
      </c>
      <c r="V39" s="2" t="s">
        <v>2</v>
      </c>
      <c r="W39" s="2" t="s">
        <v>2</v>
      </c>
    </row>
    <row r="40" spans="1:23" ht="24" customHeight="1" x14ac:dyDescent="0.3">
      <c r="A40" s="2" t="s">
        <v>139</v>
      </c>
      <c r="B40" s="11"/>
      <c r="C40" s="11"/>
      <c r="D40" s="2" t="s">
        <v>5046</v>
      </c>
      <c r="E40" s="2" t="s">
        <v>5047</v>
      </c>
      <c r="F40" s="2" t="s">
        <v>5048</v>
      </c>
      <c r="G40" s="2" t="s">
        <v>2</v>
      </c>
      <c r="H40" s="2" t="s">
        <v>27</v>
      </c>
      <c r="I40" s="2" t="s">
        <v>28</v>
      </c>
      <c r="J40" s="2" t="s">
        <v>2</v>
      </c>
      <c r="K40" s="2" t="s">
        <v>5049</v>
      </c>
      <c r="L40" s="2" t="s">
        <v>551</v>
      </c>
      <c r="M40" s="4">
        <v>2</v>
      </c>
      <c r="N40" s="4">
        <v>0</v>
      </c>
      <c r="O40" s="4">
        <f t="shared" si="0"/>
        <v>0</v>
      </c>
      <c r="P40" s="4">
        <v>0</v>
      </c>
      <c r="Q40" s="4">
        <v>0</v>
      </c>
      <c r="R40" s="4">
        <v>0</v>
      </c>
      <c r="S40" s="4">
        <v>0</v>
      </c>
      <c r="T40" s="2" t="s">
        <v>5050</v>
      </c>
      <c r="U40" s="2" t="s">
        <v>3595</v>
      </c>
      <c r="V40" s="2" t="s">
        <v>2</v>
      </c>
      <c r="W40" s="2" t="s">
        <v>2</v>
      </c>
    </row>
    <row r="41" spans="1:23" ht="24" customHeight="1" x14ac:dyDescent="0.3">
      <c r="A41" s="2" t="s">
        <v>140</v>
      </c>
      <c r="B41" s="11"/>
      <c r="C41" s="11"/>
      <c r="D41" s="2" t="s">
        <v>2191</v>
      </c>
      <c r="E41" s="2" t="s">
        <v>2192</v>
      </c>
      <c r="F41" s="2" t="s">
        <v>5051</v>
      </c>
      <c r="G41" s="2" t="s">
        <v>2</v>
      </c>
      <c r="H41" s="2" t="s">
        <v>27</v>
      </c>
      <c r="I41" s="2" t="s">
        <v>28</v>
      </c>
      <c r="J41" s="2" t="s">
        <v>2</v>
      </c>
      <c r="K41" s="2" t="s">
        <v>517</v>
      </c>
      <c r="L41" s="2" t="s">
        <v>551</v>
      </c>
      <c r="M41" s="4">
        <v>156</v>
      </c>
      <c r="N41" s="4">
        <v>55807</v>
      </c>
      <c r="O41" s="4">
        <f t="shared" si="0"/>
        <v>3528.3</v>
      </c>
      <c r="P41" s="4">
        <v>3528.3</v>
      </c>
      <c r="Q41" s="4">
        <v>0</v>
      </c>
      <c r="R41" s="4">
        <v>0</v>
      </c>
      <c r="S41" s="4">
        <v>0</v>
      </c>
      <c r="T41" s="2" t="s">
        <v>2194</v>
      </c>
      <c r="U41" s="2" t="s">
        <v>4582</v>
      </c>
      <c r="V41" s="2" t="s">
        <v>2</v>
      </c>
      <c r="W41" s="2" t="s">
        <v>2</v>
      </c>
    </row>
    <row r="42" spans="1:23" ht="24" customHeight="1" x14ac:dyDescent="0.3">
      <c r="A42" s="2" t="s">
        <v>141</v>
      </c>
      <c r="B42" s="11"/>
      <c r="C42" s="11"/>
      <c r="D42" s="2" t="s">
        <v>5052</v>
      </c>
      <c r="E42" s="2" t="s">
        <v>5053</v>
      </c>
      <c r="F42" s="2" t="s">
        <v>5054</v>
      </c>
      <c r="G42" s="2" t="s">
        <v>2</v>
      </c>
      <c r="H42" s="2" t="s">
        <v>27</v>
      </c>
      <c r="I42" s="2" t="s">
        <v>28</v>
      </c>
      <c r="J42" s="2" t="s">
        <v>2</v>
      </c>
      <c r="K42" s="2" t="s">
        <v>565</v>
      </c>
      <c r="L42" s="2" t="s">
        <v>551</v>
      </c>
      <c r="M42" s="4">
        <v>1</v>
      </c>
      <c r="N42" s="4">
        <v>95.3</v>
      </c>
      <c r="O42" s="4">
        <f t="shared" si="0"/>
        <v>0</v>
      </c>
      <c r="P42" s="4">
        <v>0</v>
      </c>
      <c r="Q42" s="4">
        <v>0</v>
      </c>
      <c r="R42" s="4">
        <v>0</v>
      </c>
      <c r="S42" s="4">
        <v>0</v>
      </c>
      <c r="T42" s="2" t="s">
        <v>5055</v>
      </c>
      <c r="U42" s="2" t="s">
        <v>1950</v>
      </c>
      <c r="V42" s="2" t="s">
        <v>2</v>
      </c>
      <c r="W42" s="2" t="s">
        <v>2</v>
      </c>
    </row>
    <row r="43" spans="1:23" ht="24" customHeight="1" x14ac:dyDescent="0.3">
      <c r="A43" s="2" t="s">
        <v>142</v>
      </c>
      <c r="B43" s="11"/>
      <c r="C43" s="11"/>
      <c r="D43" s="2" t="s">
        <v>5056</v>
      </c>
      <c r="E43" s="2" t="s">
        <v>405</v>
      </c>
      <c r="F43" s="2" t="s">
        <v>5057</v>
      </c>
      <c r="G43" s="2" t="s">
        <v>2</v>
      </c>
      <c r="H43" s="2" t="s">
        <v>27</v>
      </c>
      <c r="I43" s="2" t="s">
        <v>28</v>
      </c>
      <c r="J43" s="2" t="s">
        <v>2</v>
      </c>
      <c r="K43" s="2" t="s">
        <v>5058</v>
      </c>
      <c r="L43" s="2" t="s">
        <v>551</v>
      </c>
      <c r="M43" s="4">
        <v>3.1</v>
      </c>
      <c r="N43" s="4">
        <v>0</v>
      </c>
      <c r="O43" s="4">
        <f t="shared" si="0"/>
        <v>0</v>
      </c>
      <c r="P43" s="4">
        <v>0</v>
      </c>
      <c r="Q43" s="4">
        <v>0</v>
      </c>
      <c r="R43" s="4">
        <v>0</v>
      </c>
      <c r="S43" s="4">
        <v>0</v>
      </c>
      <c r="T43" s="2" t="s">
        <v>5059</v>
      </c>
      <c r="U43" s="2" t="s">
        <v>3473</v>
      </c>
      <c r="V43" s="2" t="s">
        <v>991</v>
      </c>
      <c r="W43" s="2" t="s">
        <v>2</v>
      </c>
    </row>
    <row r="44" spans="1:23" ht="24" customHeight="1" x14ac:dyDescent="0.3">
      <c r="A44" s="2" t="s">
        <v>143</v>
      </c>
      <c r="B44" s="11"/>
      <c r="C44" s="11" t="s">
        <v>403</v>
      </c>
      <c r="D44" s="2" t="s">
        <v>5060</v>
      </c>
      <c r="E44" s="2" t="s">
        <v>5061</v>
      </c>
      <c r="F44" s="2" t="s">
        <v>5062</v>
      </c>
      <c r="G44" s="2" t="s">
        <v>2</v>
      </c>
      <c r="H44" s="2" t="s">
        <v>5063</v>
      </c>
      <c r="I44" s="2" t="s">
        <v>5063</v>
      </c>
      <c r="J44" s="2" t="s">
        <v>2</v>
      </c>
      <c r="K44" s="2" t="s">
        <v>5064</v>
      </c>
      <c r="L44" s="2" t="s">
        <v>551</v>
      </c>
      <c r="M44" s="4">
        <v>120</v>
      </c>
      <c r="N44" s="4">
        <v>9995.9</v>
      </c>
      <c r="O44" s="4">
        <f t="shared" si="0"/>
        <v>455.9</v>
      </c>
      <c r="P44" s="4">
        <v>0</v>
      </c>
      <c r="Q44" s="4">
        <v>0</v>
      </c>
      <c r="R44" s="4">
        <v>0</v>
      </c>
      <c r="S44" s="4">
        <v>455.9</v>
      </c>
      <c r="T44" s="2" t="s">
        <v>5065</v>
      </c>
      <c r="U44" s="2" t="s">
        <v>3448</v>
      </c>
      <c r="V44" s="2" t="s">
        <v>2</v>
      </c>
      <c r="W44" s="2" t="s">
        <v>2</v>
      </c>
    </row>
    <row r="45" spans="1:23" ht="24" customHeight="1" x14ac:dyDescent="0.3">
      <c r="A45" s="2" t="s">
        <v>144</v>
      </c>
      <c r="B45" s="11"/>
      <c r="C45" s="11" t="s">
        <v>215</v>
      </c>
      <c r="D45" s="2" t="s">
        <v>5066</v>
      </c>
      <c r="E45" s="2" t="s">
        <v>3939</v>
      </c>
      <c r="F45" s="2" t="s">
        <v>5067</v>
      </c>
      <c r="G45" s="2" t="s">
        <v>2</v>
      </c>
      <c r="H45" s="2" t="s">
        <v>279</v>
      </c>
      <c r="I45" s="2" t="s">
        <v>279</v>
      </c>
      <c r="J45" s="2" t="s">
        <v>2</v>
      </c>
      <c r="K45" s="2" t="s">
        <v>298</v>
      </c>
      <c r="L45" s="2" t="s">
        <v>551</v>
      </c>
      <c r="M45" s="4">
        <v>80</v>
      </c>
      <c r="N45" s="4">
        <v>6973.2</v>
      </c>
      <c r="O45" s="4">
        <f t="shared" si="0"/>
        <v>0</v>
      </c>
      <c r="P45" s="4">
        <v>0</v>
      </c>
      <c r="Q45" s="4">
        <v>0</v>
      </c>
      <c r="R45" s="4">
        <v>0</v>
      </c>
      <c r="S45" s="4">
        <v>0</v>
      </c>
      <c r="T45" s="2" t="s">
        <v>3941</v>
      </c>
      <c r="U45" s="2" t="s">
        <v>3488</v>
      </c>
      <c r="V45" s="2" t="s">
        <v>2</v>
      </c>
      <c r="W45" s="2" t="s">
        <v>2</v>
      </c>
    </row>
    <row r="46" spans="1:23" ht="24" customHeight="1" x14ac:dyDescent="0.3">
      <c r="A46" s="2" t="s">
        <v>145</v>
      </c>
      <c r="B46" s="11"/>
      <c r="C46" s="11"/>
      <c r="D46" s="2" t="s">
        <v>4391</v>
      </c>
      <c r="E46" s="2" t="s">
        <v>4392</v>
      </c>
      <c r="F46" s="2" t="s">
        <v>4393</v>
      </c>
      <c r="G46" s="2" t="s">
        <v>2</v>
      </c>
      <c r="H46" s="2" t="s">
        <v>279</v>
      </c>
      <c r="I46" s="2" t="s">
        <v>279</v>
      </c>
      <c r="J46" s="2" t="s">
        <v>2</v>
      </c>
      <c r="K46" s="2" t="s">
        <v>5068</v>
      </c>
      <c r="L46" s="2" t="s">
        <v>551</v>
      </c>
      <c r="M46" s="4">
        <v>20</v>
      </c>
      <c r="N46" s="4">
        <v>4996.8</v>
      </c>
      <c r="O46" s="4">
        <f t="shared" si="0"/>
        <v>214.2</v>
      </c>
      <c r="P46" s="4">
        <v>214.2</v>
      </c>
      <c r="Q46" s="4">
        <v>0</v>
      </c>
      <c r="R46" s="4">
        <v>0</v>
      </c>
      <c r="S46" s="4">
        <v>0</v>
      </c>
      <c r="T46" s="2" t="s">
        <v>4395</v>
      </c>
      <c r="U46" s="2" t="s">
        <v>960</v>
      </c>
      <c r="V46" s="2" t="s">
        <v>2</v>
      </c>
      <c r="W46" s="2" t="s">
        <v>2</v>
      </c>
    </row>
    <row r="47" spans="1:23" ht="24" customHeight="1" x14ac:dyDescent="0.3">
      <c r="A47" s="2" t="s">
        <v>146</v>
      </c>
      <c r="B47" s="11"/>
      <c r="C47" s="11" t="s">
        <v>60</v>
      </c>
      <c r="D47" s="2" t="s">
        <v>5069</v>
      </c>
      <c r="E47" s="2" t="s">
        <v>5070</v>
      </c>
      <c r="F47" s="2" t="s">
        <v>5071</v>
      </c>
      <c r="G47" s="2" t="s">
        <v>2</v>
      </c>
      <c r="H47" s="2" t="s">
        <v>124</v>
      </c>
      <c r="I47" s="2" t="s">
        <v>28</v>
      </c>
      <c r="J47" s="2" t="s">
        <v>2</v>
      </c>
      <c r="K47" s="2" t="s">
        <v>5072</v>
      </c>
      <c r="L47" s="2" t="s">
        <v>551</v>
      </c>
      <c r="M47" s="4">
        <v>96</v>
      </c>
      <c r="N47" s="4">
        <v>22210</v>
      </c>
      <c r="O47" s="4">
        <f t="shared" si="0"/>
        <v>670</v>
      </c>
      <c r="P47" s="4">
        <v>0</v>
      </c>
      <c r="Q47" s="4">
        <v>0</v>
      </c>
      <c r="R47" s="4">
        <v>670</v>
      </c>
      <c r="S47" s="4">
        <v>0</v>
      </c>
      <c r="T47" s="2" t="s">
        <v>5073</v>
      </c>
      <c r="U47" s="2" t="s">
        <v>3575</v>
      </c>
      <c r="V47" s="2" t="s">
        <v>2</v>
      </c>
      <c r="W47" s="2" t="s">
        <v>2</v>
      </c>
    </row>
    <row r="48" spans="1:23" ht="24" customHeight="1" x14ac:dyDescent="0.3">
      <c r="A48" s="2" t="s">
        <v>147</v>
      </c>
      <c r="B48" s="11"/>
      <c r="C48" s="11"/>
      <c r="D48" s="2" t="s">
        <v>5074</v>
      </c>
      <c r="E48" s="2" t="s">
        <v>5075</v>
      </c>
      <c r="F48" s="2" t="s">
        <v>5076</v>
      </c>
      <c r="G48" s="2" t="s">
        <v>2</v>
      </c>
      <c r="H48" s="2" t="s">
        <v>124</v>
      </c>
      <c r="I48" s="2" t="s">
        <v>28</v>
      </c>
      <c r="J48" s="2" t="s">
        <v>2</v>
      </c>
      <c r="K48" s="2" t="s">
        <v>5077</v>
      </c>
      <c r="L48" s="2" t="s">
        <v>4569</v>
      </c>
      <c r="M48" s="4">
        <v>69</v>
      </c>
      <c r="N48" s="4">
        <v>21876.3</v>
      </c>
      <c r="O48" s="4">
        <f t="shared" si="0"/>
        <v>438.4</v>
      </c>
      <c r="P48" s="4">
        <v>415.2</v>
      </c>
      <c r="Q48" s="4">
        <v>23.2</v>
      </c>
      <c r="R48" s="4">
        <v>0</v>
      </c>
      <c r="S48" s="4">
        <v>0</v>
      </c>
      <c r="T48" s="2" t="s">
        <v>5078</v>
      </c>
      <c r="U48" s="2" t="s">
        <v>3406</v>
      </c>
      <c r="V48" s="2" t="s">
        <v>2</v>
      </c>
      <c r="W48" s="2" t="s">
        <v>2</v>
      </c>
    </row>
    <row r="49" spans="1:23" ht="24" customHeight="1" x14ac:dyDescent="0.3">
      <c r="A49" s="2" t="s">
        <v>148</v>
      </c>
      <c r="B49" s="11"/>
      <c r="C49" s="11"/>
      <c r="D49" s="2" t="s">
        <v>2609</v>
      </c>
      <c r="E49" s="2" t="s">
        <v>2610</v>
      </c>
      <c r="F49" s="2" t="s">
        <v>5079</v>
      </c>
      <c r="G49" s="2" t="s">
        <v>2</v>
      </c>
      <c r="H49" s="2" t="s">
        <v>124</v>
      </c>
      <c r="I49" s="2" t="s">
        <v>28</v>
      </c>
      <c r="J49" s="2" t="s">
        <v>2</v>
      </c>
      <c r="K49" s="2" t="s">
        <v>5080</v>
      </c>
      <c r="L49" s="2" t="s">
        <v>551</v>
      </c>
      <c r="M49" s="4">
        <v>24</v>
      </c>
      <c r="N49" s="4">
        <v>290.5</v>
      </c>
      <c r="O49" s="4">
        <f t="shared" si="0"/>
        <v>290.89999999999998</v>
      </c>
      <c r="P49" s="4">
        <v>290.89999999999998</v>
      </c>
      <c r="Q49" s="4">
        <v>0</v>
      </c>
      <c r="R49" s="4">
        <v>0</v>
      </c>
      <c r="S49" s="4">
        <v>0</v>
      </c>
      <c r="T49" s="2" t="s">
        <v>2612</v>
      </c>
      <c r="U49" s="2" t="s">
        <v>288</v>
      </c>
      <c r="V49" s="2" t="s">
        <v>2</v>
      </c>
      <c r="W49" s="2" t="s">
        <v>2</v>
      </c>
    </row>
    <row r="50" spans="1:23" ht="24" customHeight="1" x14ac:dyDescent="0.3">
      <c r="A50" s="2" t="s">
        <v>149</v>
      </c>
      <c r="B50" s="11"/>
      <c r="C50" s="11"/>
      <c r="D50" s="2" t="s">
        <v>5081</v>
      </c>
      <c r="E50" s="2" t="s">
        <v>4840</v>
      </c>
      <c r="F50" s="2" t="s">
        <v>5082</v>
      </c>
      <c r="G50" s="2" t="s">
        <v>2</v>
      </c>
      <c r="H50" s="2" t="s">
        <v>124</v>
      </c>
      <c r="I50" s="2" t="s">
        <v>28</v>
      </c>
      <c r="J50" s="2" t="s">
        <v>2</v>
      </c>
      <c r="K50" s="2" t="s">
        <v>5083</v>
      </c>
      <c r="L50" s="2" t="s">
        <v>584</v>
      </c>
      <c r="M50" s="4">
        <v>17.399999999999999</v>
      </c>
      <c r="N50" s="4">
        <v>197</v>
      </c>
      <c r="O50" s="4">
        <f t="shared" si="0"/>
        <v>195.5</v>
      </c>
      <c r="P50" s="4">
        <v>195.5</v>
      </c>
      <c r="Q50" s="4">
        <v>0</v>
      </c>
      <c r="R50" s="4">
        <v>0</v>
      </c>
      <c r="S50" s="4">
        <v>0</v>
      </c>
      <c r="T50" s="2" t="s">
        <v>4842</v>
      </c>
      <c r="U50" s="2" t="s">
        <v>5084</v>
      </c>
      <c r="V50" s="2" t="s">
        <v>2</v>
      </c>
      <c r="W50" s="2" t="s">
        <v>2</v>
      </c>
    </row>
    <row r="51" spans="1:23" ht="24" customHeight="1" x14ac:dyDescent="0.3">
      <c r="A51" s="2" t="s">
        <v>150</v>
      </c>
      <c r="B51" s="11"/>
      <c r="C51" s="11"/>
      <c r="D51" s="2" t="s">
        <v>5085</v>
      </c>
      <c r="E51" s="2" t="s">
        <v>5086</v>
      </c>
      <c r="F51" s="2" t="s">
        <v>5087</v>
      </c>
      <c r="G51" s="2" t="s">
        <v>2</v>
      </c>
      <c r="H51" s="2" t="s">
        <v>124</v>
      </c>
      <c r="I51" s="2" t="s">
        <v>28</v>
      </c>
      <c r="J51" s="2" t="s">
        <v>2</v>
      </c>
      <c r="K51" s="2" t="s">
        <v>5088</v>
      </c>
      <c r="L51" s="2" t="s">
        <v>4252</v>
      </c>
      <c r="M51" s="4">
        <v>8.1</v>
      </c>
      <c r="N51" s="4">
        <v>319.39999999999998</v>
      </c>
      <c r="O51" s="4">
        <f t="shared" si="0"/>
        <v>253.7</v>
      </c>
      <c r="P51" s="4">
        <v>253.7</v>
      </c>
      <c r="Q51" s="4">
        <v>0</v>
      </c>
      <c r="R51" s="4">
        <v>0</v>
      </c>
      <c r="S51" s="4">
        <v>0</v>
      </c>
      <c r="T51" s="2" t="s">
        <v>5089</v>
      </c>
      <c r="U51" s="2" t="s">
        <v>5090</v>
      </c>
      <c r="V51" s="2" t="s">
        <v>2</v>
      </c>
      <c r="W51" s="2" t="s">
        <v>2</v>
      </c>
    </row>
    <row r="52" spans="1:23" ht="24" customHeight="1" x14ac:dyDescent="0.3">
      <c r="A52" s="2" t="s">
        <v>151</v>
      </c>
      <c r="B52" s="11"/>
      <c r="C52" s="11"/>
      <c r="D52" s="2" t="s">
        <v>5091</v>
      </c>
      <c r="E52" s="2" t="s">
        <v>5092</v>
      </c>
      <c r="F52" s="2" t="s">
        <v>5093</v>
      </c>
      <c r="G52" s="2" t="s">
        <v>2</v>
      </c>
      <c r="H52" s="2" t="s">
        <v>124</v>
      </c>
      <c r="I52" s="2" t="s">
        <v>28</v>
      </c>
      <c r="J52" s="2" t="s">
        <v>2</v>
      </c>
      <c r="K52" s="2" t="s">
        <v>5094</v>
      </c>
      <c r="L52" s="2" t="s">
        <v>5095</v>
      </c>
      <c r="M52" s="4">
        <v>1.8</v>
      </c>
      <c r="N52" s="4">
        <v>138</v>
      </c>
      <c r="O52" s="4">
        <f t="shared" si="0"/>
        <v>136</v>
      </c>
      <c r="P52" s="4">
        <v>136</v>
      </c>
      <c r="Q52" s="4">
        <v>0</v>
      </c>
      <c r="R52" s="4">
        <v>0</v>
      </c>
      <c r="S52" s="4">
        <v>0</v>
      </c>
      <c r="T52" s="2" t="s">
        <v>5096</v>
      </c>
      <c r="U52" s="2" t="s">
        <v>5097</v>
      </c>
      <c r="V52" s="2" t="s">
        <v>2</v>
      </c>
      <c r="W52" s="2" t="s">
        <v>2</v>
      </c>
    </row>
    <row r="53" spans="1:23" ht="24" customHeight="1" x14ac:dyDescent="0.3">
      <c r="A53" s="2" t="s">
        <v>152</v>
      </c>
      <c r="B53" s="11"/>
      <c r="C53" s="11"/>
      <c r="D53" s="2" t="s">
        <v>5098</v>
      </c>
      <c r="E53" s="2" t="s">
        <v>5099</v>
      </c>
      <c r="F53" s="2" t="s">
        <v>5100</v>
      </c>
      <c r="G53" s="2" t="s">
        <v>2</v>
      </c>
      <c r="H53" s="2" t="s">
        <v>124</v>
      </c>
      <c r="I53" s="2" t="s">
        <v>28</v>
      </c>
      <c r="J53" s="2" t="s">
        <v>2</v>
      </c>
      <c r="K53" s="2" t="s">
        <v>5101</v>
      </c>
      <c r="L53" s="2" t="s">
        <v>551</v>
      </c>
      <c r="M53" s="4">
        <v>4</v>
      </c>
      <c r="N53" s="4">
        <v>78.099999999999994</v>
      </c>
      <c r="O53" s="4">
        <f t="shared" si="0"/>
        <v>0</v>
      </c>
      <c r="P53" s="4">
        <v>0</v>
      </c>
      <c r="Q53" s="4">
        <v>0</v>
      </c>
      <c r="R53" s="4">
        <v>0</v>
      </c>
      <c r="S53" s="4">
        <v>0</v>
      </c>
      <c r="T53" s="2" t="s">
        <v>2</v>
      </c>
      <c r="U53" s="2" t="s">
        <v>4228</v>
      </c>
      <c r="V53" s="2" t="s">
        <v>2</v>
      </c>
      <c r="W53" s="2" t="s">
        <v>2</v>
      </c>
    </row>
    <row r="54" spans="1:23" ht="24" customHeight="1" x14ac:dyDescent="0.3">
      <c r="A54" s="2" t="s">
        <v>153</v>
      </c>
      <c r="B54" s="11"/>
      <c r="C54" s="11"/>
      <c r="D54" s="2" t="s">
        <v>5102</v>
      </c>
      <c r="E54" s="2" t="s">
        <v>5103</v>
      </c>
      <c r="F54" s="2" t="s">
        <v>5104</v>
      </c>
      <c r="G54" s="2" t="s">
        <v>2</v>
      </c>
      <c r="H54" s="2" t="s">
        <v>124</v>
      </c>
      <c r="I54" s="2" t="s">
        <v>28</v>
      </c>
      <c r="J54" s="2" t="s">
        <v>2</v>
      </c>
      <c r="K54" s="2" t="s">
        <v>5105</v>
      </c>
      <c r="L54" s="2" t="s">
        <v>5106</v>
      </c>
      <c r="M54" s="4">
        <v>30</v>
      </c>
      <c r="N54" s="4">
        <v>1153.8</v>
      </c>
      <c r="O54" s="4">
        <f t="shared" si="0"/>
        <v>0</v>
      </c>
      <c r="P54" s="4">
        <v>0</v>
      </c>
      <c r="Q54" s="4">
        <v>0</v>
      </c>
      <c r="R54" s="4">
        <v>0</v>
      </c>
      <c r="S54" s="4">
        <v>0</v>
      </c>
      <c r="T54" s="2" t="s">
        <v>5107</v>
      </c>
      <c r="U54" s="2" t="s">
        <v>5108</v>
      </c>
      <c r="V54" s="2" t="s">
        <v>2</v>
      </c>
      <c r="W54" s="2" t="s">
        <v>2</v>
      </c>
    </row>
    <row r="55" spans="1:23" ht="24" customHeight="1" x14ac:dyDescent="0.3">
      <c r="A55" s="2" t="s">
        <v>155</v>
      </c>
      <c r="B55" s="11"/>
      <c r="C55" s="11"/>
      <c r="D55" s="2" t="s">
        <v>5109</v>
      </c>
      <c r="E55" s="2" t="s">
        <v>5110</v>
      </c>
      <c r="F55" s="2" t="s">
        <v>5111</v>
      </c>
      <c r="G55" s="2" t="s">
        <v>2</v>
      </c>
      <c r="H55" s="2" t="s">
        <v>124</v>
      </c>
      <c r="I55" s="2" t="s">
        <v>28</v>
      </c>
      <c r="J55" s="2" t="s">
        <v>2</v>
      </c>
      <c r="K55" s="2" t="s">
        <v>5112</v>
      </c>
      <c r="L55" s="2" t="s">
        <v>551</v>
      </c>
      <c r="M55" s="4">
        <v>480</v>
      </c>
      <c r="N55" s="4">
        <v>94858.9</v>
      </c>
      <c r="O55" s="4">
        <f t="shared" ref="O55:O118" si="1">SUM(P55:S55)</f>
        <v>32746.9</v>
      </c>
      <c r="P55" s="4">
        <v>0</v>
      </c>
      <c r="Q55" s="4">
        <v>0</v>
      </c>
      <c r="R55" s="4">
        <v>0</v>
      </c>
      <c r="S55" s="4">
        <v>32746.9</v>
      </c>
      <c r="T55" s="2" t="s">
        <v>3987</v>
      </c>
      <c r="U55" s="2" t="s">
        <v>443</v>
      </c>
      <c r="V55" s="2" t="s">
        <v>2</v>
      </c>
      <c r="W55" s="2" t="s">
        <v>2</v>
      </c>
    </row>
    <row r="56" spans="1:23" ht="24" customHeight="1" x14ac:dyDescent="0.3">
      <c r="A56" s="2" t="s">
        <v>362</v>
      </c>
      <c r="B56" s="11"/>
      <c r="C56" s="11"/>
      <c r="D56" s="2" t="s">
        <v>5113</v>
      </c>
      <c r="E56" s="2" t="s">
        <v>5114</v>
      </c>
      <c r="F56" s="2" t="s">
        <v>5115</v>
      </c>
      <c r="G56" s="2" t="s">
        <v>2</v>
      </c>
      <c r="H56" s="2" t="s">
        <v>124</v>
      </c>
      <c r="I56" s="2" t="s">
        <v>28</v>
      </c>
      <c r="J56" s="2" t="s">
        <v>2</v>
      </c>
      <c r="K56" s="2" t="s">
        <v>5116</v>
      </c>
      <c r="L56" s="2" t="s">
        <v>551</v>
      </c>
      <c r="M56" s="4">
        <v>40</v>
      </c>
      <c r="N56" s="4">
        <v>670.6</v>
      </c>
      <c r="O56" s="4">
        <f t="shared" si="1"/>
        <v>0</v>
      </c>
      <c r="P56" s="4">
        <v>0</v>
      </c>
      <c r="Q56" s="4">
        <v>0</v>
      </c>
      <c r="R56" s="4">
        <v>0</v>
      </c>
      <c r="S56" s="4">
        <v>0</v>
      </c>
      <c r="T56" s="2" t="s">
        <v>2</v>
      </c>
      <c r="U56" s="2" t="s">
        <v>494</v>
      </c>
      <c r="V56" s="2" t="s">
        <v>2</v>
      </c>
      <c r="W56" s="2" t="s">
        <v>2</v>
      </c>
    </row>
    <row r="57" spans="1:23" ht="24" customHeight="1" x14ac:dyDescent="0.3">
      <c r="A57" s="2" t="s">
        <v>370</v>
      </c>
      <c r="B57" s="11"/>
      <c r="C57" s="11"/>
      <c r="D57" s="2" t="s">
        <v>3427</v>
      </c>
      <c r="E57" s="2" t="s">
        <v>4227</v>
      </c>
      <c r="F57" s="2" t="s">
        <v>5117</v>
      </c>
      <c r="G57" s="2" t="s">
        <v>2</v>
      </c>
      <c r="H57" s="2" t="s">
        <v>124</v>
      </c>
      <c r="I57" s="2" t="s">
        <v>28</v>
      </c>
      <c r="J57" s="2" t="s">
        <v>2</v>
      </c>
      <c r="K57" s="2" t="s">
        <v>5118</v>
      </c>
      <c r="L57" s="2" t="s">
        <v>551</v>
      </c>
      <c r="M57" s="4">
        <v>40</v>
      </c>
      <c r="N57" s="4">
        <v>861.1</v>
      </c>
      <c r="O57" s="4">
        <f t="shared" si="1"/>
        <v>0</v>
      </c>
      <c r="P57" s="4">
        <v>0</v>
      </c>
      <c r="Q57" s="4">
        <v>0</v>
      </c>
      <c r="R57" s="4">
        <v>0</v>
      </c>
      <c r="S57" s="4">
        <v>0</v>
      </c>
      <c r="T57" s="2" t="s">
        <v>2</v>
      </c>
      <c r="U57" s="2" t="s">
        <v>3616</v>
      </c>
      <c r="V57" s="2" t="s">
        <v>2</v>
      </c>
      <c r="W57" s="2" t="s">
        <v>2</v>
      </c>
    </row>
    <row r="58" spans="1:23" ht="24" customHeight="1" x14ac:dyDescent="0.3">
      <c r="A58" s="2" t="s">
        <v>371</v>
      </c>
      <c r="B58" s="11"/>
      <c r="C58" s="11"/>
      <c r="D58" s="2" t="s">
        <v>5119</v>
      </c>
      <c r="E58" s="2" t="s">
        <v>4085</v>
      </c>
      <c r="F58" s="2" t="s">
        <v>5120</v>
      </c>
      <c r="G58" s="2" t="s">
        <v>2</v>
      </c>
      <c r="H58" s="2" t="s">
        <v>124</v>
      </c>
      <c r="I58" s="2" t="s">
        <v>28</v>
      </c>
      <c r="J58" s="2" t="s">
        <v>2</v>
      </c>
      <c r="K58" s="2" t="s">
        <v>5121</v>
      </c>
      <c r="L58" s="2" t="s">
        <v>551</v>
      </c>
      <c r="M58" s="4">
        <v>40</v>
      </c>
      <c r="N58" s="4">
        <v>4974.1000000000004</v>
      </c>
      <c r="O58" s="4">
        <f t="shared" si="1"/>
        <v>0</v>
      </c>
      <c r="P58" s="4">
        <v>0</v>
      </c>
      <c r="Q58" s="4">
        <v>0</v>
      </c>
      <c r="R58" s="4">
        <v>0</v>
      </c>
      <c r="S58" s="4">
        <v>0</v>
      </c>
      <c r="T58" s="2" t="s">
        <v>5122</v>
      </c>
      <c r="U58" s="2" t="s">
        <v>3635</v>
      </c>
      <c r="V58" s="2" t="s">
        <v>2</v>
      </c>
      <c r="W58" s="2" t="s">
        <v>2</v>
      </c>
    </row>
    <row r="59" spans="1:23" ht="24" customHeight="1" x14ac:dyDescent="0.3">
      <c r="A59" s="2" t="s">
        <v>372</v>
      </c>
      <c r="B59" s="11"/>
      <c r="C59" s="11"/>
      <c r="D59" s="2" t="s">
        <v>5123</v>
      </c>
      <c r="E59" s="2" t="s">
        <v>5124</v>
      </c>
      <c r="F59" s="2" t="s">
        <v>5125</v>
      </c>
      <c r="G59" s="2" t="s">
        <v>2</v>
      </c>
      <c r="H59" s="2" t="s">
        <v>124</v>
      </c>
      <c r="I59" s="2" t="s">
        <v>28</v>
      </c>
      <c r="J59" s="2" t="s">
        <v>2</v>
      </c>
      <c r="K59" s="2" t="s">
        <v>5126</v>
      </c>
      <c r="L59" s="2" t="s">
        <v>551</v>
      </c>
      <c r="M59" s="4">
        <v>160</v>
      </c>
      <c r="N59" s="4">
        <v>21227.4</v>
      </c>
      <c r="O59" s="4">
        <f t="shared" si="1"/>
        <v>0</v>
      </c>
      <c r="P59" s="4">
        <v>0</v>
      </c>
      <c r="Q59" s="4">
        <v>0</v>
      </c>
      <c r="R59" s="4">
        <v>0</v>
      </c>
      <c r="S59" s="4">
        <v>0</v>
      </c>
      <c r="T59" s="2" t="s">
        <v>5127</v>
      </c>
      <c r="U59" s="2" t="s">
        <v>3601</v>
      </c>
      <c r="V59" s="2" t="s">
        <v>2</v>
      </c>
      <c r="W59" s="2" t="s">
        <v>2</v>
      </c>
    </row>
    <row r="60" spans="1:23" ht="24" customHeight="1" x14ac:dyDescent="0.3">
      <c r="A60" s="2" t="s">
        <v>330</v>
      </c>
      <c r="B60" s="11"/>
      <c r="C60" s="11"/>
      <c r="D60" s="2" t="s">
        <v>2667</v>
      </c>
      <c r="E60" s="2" t="s">
        <v>2668</v>
      </c>
      <c r="F60" s="2" t="s">
        <v>2669</v>
      </c>
      <c r="G60" s="2" t="s">
        <v>2</v>
      </c>
      <c r="H60" s="2" t="s">
        <v>124</v>
      </c>
      <c r="I60" s="2" t="s">
        <v>28</v>
      </c>
      <c r="J60" s="2" t="s">
        <v>2</v>
      </c>
      <c r="K60" s="2" t="s">
        <v>5128</v>
      </c>
      <c r="L60" s="2" t="s">
        <v>3477</v>
      </c>
      <c r="M60" s="4">
        <v>22.6</v>
      </c>
      <c r="N60" s="4">
        <v>0</v>
      </c>
      <c r="O60" s="4">
        <f t="shared" si="1"/>
        <v>0</v>
      </c>
      <c r="P60" s="4">
        <v>0</v>
      </c>
      <c r="Q60" s="4">
        <v>0</v>
      </c>
      <c r="R60" s="4">
        <v>0</v>
      </c>
      <c r="S60" s="4">
        <v>0</v>
      </c>
      <c r="T60" s="2" t="s">
        <v>2</v>
      </c>
      <c r="U60" s="2" t="s">
        <v>4229</v>
      </c>
      <c r="V60" s="2" t="s">
        <v>2</v>
      </c>
      <c r="W60" s="2" t="s">
        <v>2</v>
      </c>
    </row>
    <row r="61" spans="1:23" ht="24" customHeight="1" x14ac:dyDescent="0.3">
      <c r="A61" s="2" t="s">
        <v>358</v>
      </c>
      <c r="B61" s="11"/>
      <c r="C61" s="11"/>
      <c r="D61" s="2" t="s">
        <v>5129</v>
      </c>
      <c r="E61" s="2" t="s">
        <v>5130</v>
      </c>
      <c r="F61" s="2" t="s">
        <v>5131</v>
      </c>
      <c r="G61" s="2" t="s">
        <v>2</v>
      </c>
      <c r="H61" s="2" t="s">
        <v>124</v>
      </c>
      <c r="I61" s="2" t="s">
        <v>28</v>
      </c>
      <c r="J61" s="2" t="s">
        <v>2</v>
      </c>
      <c r="K61" s="2" t="s">
        <v>5132</v>
      </c>
      <c r="L61" s="2" t="s">
        <v>551</v>
      </c>
      <c r="M61" s="4">
        <v>40</v>
      </c>
      <c r="N61" s="4">
        <v>9781.5</v>
      </c>
      <c r="O61" s="4">
        <f t="shared" si="1"/>
        <v>0</v>
      </c>
      <c r="P61" s="4">
        <v>0</v>
      </c>
      <c r="Q61" s="4">
        <v>0</v>
      </c>
      <c r="R61" s="4">
        <v>0</v>
      </c>
      <c r="S61" s="4">
        <v>0</v>
      </c>
      <c r="T61" s="2" t="s">
        <v>3724</v>
      </c>
      <c r="U61" s="2" t="s">
        <v>3444</v>
      </c>
      <c r="V61" s="2" t="s">
        <v>2</v>
      </c>
      <c r="W61" s="2" t="s">
        <v>2</v>
      </c>
    </row>
    <row r="62" spans="1:23" ht="24" customHeight="1" x14ac:dyDescent="0.3">
      <c r="A62" s="2" t="s">
        <v>373</v>
      </c>
      <c r="B62" s="11"/>
      <c r="C62" s="11"/>
      <c r="D62" s="2" t="s">
        <v>4933</v>
      </c>
      <c r="E62" s="2" t="s">
        <v>5133</v>
      </c>
      <c r="F62" s="2" t="s">
        <v>5134</v>
      </c>
      <c r="G62" s="2" t="s">
        <v>2</v>
      </c>
      <c r="H62" s="2" t="s">
        <v>124</v>
      </c>
      <c r="I62" s="2" t="s">
        <v>28</v>
      </c>
      <c r="J62" s="2" t="s">
        <v>2</v>
      </c>
      <c r="K62" s="2" t="s">
        <v>5135</v>
      </c>
      <c r="L62" s="2" t="s">
        <v>551</v>
      </c>
      <c r="M62" s="4">
        <v>17.600000000000001</v>
      </c>
      <c r="N62" s="4">
        <v>5751.1</v>
      </c>
      <c r="O62" s="4">
        <f t="shared" si="1"/>
        <v>0</v>
      </c>
      <c r="P62" s="4">
        <v>0</v>
      </c>
      <c r="Q62" s="4">
        <v>0</v>
      </c>
      <c r="R62" s="4">
        <v>0</v>
      </c>
      <c r="S62" s="4">
        <v>0</v>
      </c>
      <c r="T62" s="2" t="s">
        <v>5136</v>
      </c>
      <c r="U62" s="2" t="s">
        <v>3538</v>
      </c>
      <c r="V62" s="2" t="s">
        <v>2</v>
      </c>
      <c r="W62" s="2" t="s">
        <v>2</v>
      </c>
    </row>
    <row r="63" spans="1:23" ht="24" customHeight="1" x14ac:dyDescent="0.3">
      <c r="A63" s="2" t="s">
        <v>374</v>
      </c>
      <c r="B63" s="11"/>
      <c r="C63" s="11"/>
      <c r="D63" s="2" t="s">
        <v>2688</v>
      </c>
      <c r="E63" s="2" t="s">
        <v>2689</v>
      </c>
      <c r="F63" s="2" t="s">
        <v>5137</v>
      </c>
      <c r="G63" s="2" t="s">
        <v>2</v>
      </c>
      <c r="H63" s="2" t="s">
        <v>124</v>
      </c>
      <c r="I63" s="2" t="s">
        <v>28</v>
      </c>
      <c r="J63" s="2" t="s">
        <v>2</v>
      </c>
      <c r="K63" s="2" t="s">
        <v>5138</v>
      </c>
      <c r="L63" s="2" t="s">
        <v>551</v>
      </c>
      <c r="M63" s="4">
        <v>40</v>
      </c>
      <c r="N63" s="4">
        <v>683.1</v>
      </c>
      <c r="O63" s="4">
        <f t="shared" si="1"/>
        <v>0</v>
      </c>
      <c r="P63" s="4">
        <v>0</v>
      </c>
      <c r="Q63" s="4">
        <v>0</v>
      </c>
      <c r="R63" s="4">
        <v>0</v>
      </c>
      <c r="S63" s="4">
        <v>0</v>
      </c>
      <c r="T63" s="2" t="s">
        <v>2</v>
      </c>
      <c r="U63" s="2" t="s">
        <v>889</v>
      </c>
      <c r="V63" s="2" t="s">
        <v>2</v>
      </c>
      <c r="W63" s="2" t="s">
        <v>2</v>
      </c>
    </row>
    <row r="64" spans="1:23" ht="24" customHeight="1" x14ac:dyDescent="0.3">
      <c r="A64" s="2" t="s">
        <v>375</v>
      </c>
      <c r="B64" s="11"/>
      <c r="C64" s="11"/>
      <c r="D64" s="2" t="s">
        <v>5139</v>
      </c>
      <c r="E64" s="2" t="s">
        <v>4434</v>
      </c>
      <c r="F64" s="2" t="s">
        <v>5140</v>
      </c>
      <c r="G64" s="2" t="s">
        <v>2</v>
      </c>
      <c r="H64" s="2" t="s">
        <v>124</v>
      </c>
      <c r="I64" s="2" t="s">
        <v>28</v>
      </c>
      <c r="J64" s="2" t="s">
        <v>2</v>
      </c>
      <c r="K64" s="2" t="s">
        <v>5141</v>
      </c>
      <c r="L64" s="2" t="s">
        <v>551</v>
      </c>
      <c r="M64" s="4">
        <v>30</v>
      </c>
      <c r="N64" s="4">
        <v>191.4</v>
      </c>
      <c r="O64" s="4">
        <f t="shared" si="1"/>
        <v>3318.4</v>
      </c>
      <c r="P64" s="4">
        <v>0</v>
      </c>
      <c r="Q64" s="4">
        <v>0</v>
      </c>
      <c r="R64" s="4">
        <v>0</v>
      </c>
      <c r="S64" s="4">
        <v>3318.4</v>
      </c>
      <c r="T64" s="2" t="s">
        <v>5142</v>
      </c>
      <c r="U64" s="2" t="s">
        <v>3518</v>
      </c>
      <c r="V64" s="2" t="s">
        <v>2</v>
      </c>
      <c r="W64" s="2" t="s">
        <v>2</v>
      </c>
    </row>
    <row r="65" spans="1:23" ht="24" customHeight="1" x14ac:dyDescent="0.3">
      <c r="A65" s="2" t="s">
        <v>359</v>
      </c>
      <c r="B65" s="11"/>
      <c r="C65" s="11"/>
      <c r="D65" s="2" t="s">
        <v>5143</v>
      </c>
      <c r="E65" s="2" t="s">
        <v>5144</v>
      </c>
      <c r="F65" s="2" t="s">
        <v>5145</v>
      </c>
      <c r="G65" s="2" t="s">
        <v>2</v>
      </c>
      <c r="H65" s="2" t="s">
        <v>124</v>
      </c>
      <c r="I65" s="2" t="s">
        <v>28</v>
      </c>
      <c r="J65" s="2" t="s">
        <v>2</v>
      </c>
      <c r="K65" s="2" t="s">
        <v>5146</v>
      </c>
      <c r="L65" s="2" t="s">
        <v>551</v>
      </c>
      <c r="M65" s="4">
        <v>96</v>
      </c>
      <c r="N65" s="4">
        <v>30358.6</v>
      </c>
      <c r="O65" s="4">
        <f t="shared" si="1"/>
        <v>8580.5</v>
      </c>
      <c r="P65" s="4">
        <v>41</v>
      </c>
      <c r="Q65" s="4">
        <v>0</v>
      </c>
      <c r="R65" s="4">
        <v>0</v>
      </c>
      <c r="S65" s="4">
        <v>8539.5</v>
      </c>
      <c r="T65" s="2" t="s">
        <v>5147</v>
      </c>
      <c r="U65" s="2" t="s">
        <v>5148</v>
      </c>
      <c r="V65" s="2" t="s">
        <v>2</v>
      </c>
      <c r="W65" s="2" t="s">
        <v>2</v>
      </c>
    </row>
    <row r="66" spans="1:23" ht="24" customHeight="1" x14ac:dyDescent="0.3">
      <c r="A66" s="2" t="s">
        <v>376</v>
      </c>
      <c r="B66" s="11"/>
      <c r="C66" s="11"/>
      <c r="D66" s="2" t="s">
        <v>5149</v>
      </c>
      <c r="E66" s="2" t="s">
        <v>5150</v>
      </c>
      <c r="F66" s="2" t="s">
        <v>5151</v>
      </c>
      <c r="G66" s="2" t="s">
        <v>2</v>
      </c>
      <c r="H66" s="2" t="s">
        <v>124</v>
      </c>
      <c r="I66" s="2" t="s">
        <v>28</v>
      </c>
      <c r="J66" s="2" t="s">
        <v>2</v>
      </c>
      <c r="K66" s="2" t="s">
        <v>5152</v>
      </c>
      <c r="L66" s="2" t="s">
        <v>551</v>
      </c>
      <c r="M66" s="4">
        <v>20</v>
      </c>
      <c r="N66" s="4">
        <v>0</v>
      </c>
      <c r="O66" s="4">
        <f t="shared" si="1"/>
        <v>0</v>
      </c>
      <c r="P66" s="4">
        <v>0</v>
      </c>
      <c r="Q66" s="4">
        <v>0</v>
      </c>
      <c r="R66" s="4">
        <v>0</v>
      </c>
      <c r="S66" s="4">
        <v>0</v>
      </c>
      <c r="T66" s="2" t="s">
        <v>5153</v>
      </c>
      <c r="U66" s="2" t="s">
        <v>5154</v>
      </c>
      <c r="V66" s="2" t="s">
        <v>2</v>
      </c>
      <c r="W66" s="2" t="s">
        <v>2</v>
      </c>
    </row>
    <row r="67" spans="1:23" ht="24" customHeight="1" x14ac:dyDescent="0.3">
      <c r="A67" s="2" t="s">
        <v>536</v>
      </c>
      <c r="B67" s="11"/>
      <c r="C67" s="11"/>
      <c r="D67" s="2" t="s">
        <v>5155</v>
      </c>
      <c r="E67" s="2" t="s">
        <v>4934</v>
      </c>
      <c r="F67" s="2" t="s">
        <v>5156</v>
      </c>
      <c r="G67" s="2" t="s">
        <v>2</v>
      </c>
      <c r="H67" s="2" t="s">
        <v>124</v>
      </c>
      <c r="I67" s="2" t="s">
        <v>28</v>
      </c>
      <c r="J67" s="2" t="s">
        <v>2</v>
      </c>
      <c r="K67" s="2" t="s">
        <v>5157</v>
      </c>
      <c r="L67" s="2" t="s">
        <v>551</v>
      </c>
      <c r="M67" s="4">
        <v>20</v>
      </c>
      <c r="N67" s="4">
        <v>1670.2</v>
      </c>
      <c r="O67" s="4">
        <f t="shared" si="1"/>
        <v>50</v>
      </c>
      <c r="P67" s="4">
        <v>50</v>
      </c>
      <c r="Q67" s="4">
        <v>0</v>
      </c>
      <c r="R67" s="4">
        <v>0</v>
      </c>
      <c r="S67" s="4">
        <v>0</v>
      </c>
      <c r="T67" s="2" t="s">
        <v>2</v>
      </c>
      <c r="U67" s="2" t="s">
        <v>159</v>
      </c>
      <c r="V67" s="2" t="s">
        <v>2</v>
      </c>
      <c r="W67" s="2" t="s">
        <v>2</v>
      </c>
    </row>
    <row r="68" spans="1:23" ht="24" customHeight="1" x14ac:dyDescent="0.3">
      <c r="A68" s="2" t="s">
        <v>537</v>
      </c>
      <c r="B68" s="11"/>
      <c r="C68" s="11"/>
      <c r="D68" s="2" t="s">
        <v>5158</v>
      </c>
      <c r="E68" s="2" t="s">
        <v>2817</v>
      </c>
      <c r="F68" s="2" t="s">
        <v>5159</v>
      </c>
      <c r="G68" s="2" t="s">
        <v>2</v>
      </c>
      <c r="H68" s="2" t="s">
        <v>124</v>
      </c>
      <c r="I68" s="2" t="s">
        <v>28</v>
      </c>
      <c r="J68" s="2" t="s">
        <v>2</v>
      </c>
      <c r="K68" s="2" t="s">
        <v>5160</v>
      </c>
      <c r="L68" s="2" t="s">
        <v>551</v>
      </c>
      <c r="M68" s="4">
        <v>10</v>
      </c>
      <c r="N68" s="4">
        <v>0</v>
      </c>
      <c r="O68" s="4">
        <f t="shared" si="1"/>
        <v>0</v>
      </c>
      <c r="P68" s="4">
        <v>0</v>
      </c>
      <c r="Q68" s="4">
        <v>0</v>
      </c>
      <c r="R68" s="4">
        <v>0</v>
      </c>
      <c r="S68" s="4">
        <v>0</v>
      </c>
      <c r="T68" s="2" t="s">
        <v>2819</v>
      </c>
      <c r="U68" s="2" t="s">
        <v>3565</v>
      </c>
      <c r="V68" s="2" t="s">
        <v>2</v>
      </c>
      <c r="W68" s="2" t="s">
        <v>2</v>
      </c>
    </row>
    <row r="69" spans="1:23" ht="24" customHeight="1" x14ac:dyDescent="0.3">
      <c r="A69" s="2" t="s">
        <v>538</v>
      </c>
      <c r="B69" s="11"/>
      <c r="C69" s="11"/>
      <c r="D69" s="2" t="s">
        <v>5161</v>
      </c>
      <c r="E69" s="2" t="s">
        <v>5162</v>
      </c>
      <c r="F69" s="2" t="s">
        <v>5163</v>
      </c>
      <c r="G69" s="2" t="s">
        <v>2</v>
      </c>
      <c r="H69" s="2" t="s">
        <v>124</v>
      </c>
      <c r="I69" s="2" t="s">
        <v>28</v>
      </c>
      <c r="J69" s="2" t="s">
        <v>2</v>
      </c>
      <c r="K69" s="2" t="s">
        <v>5164</v>
      </c>
      <c r="L69" s="2" t="s">
        <v>551</v>
      </c>
      <c r="M69" s="4">
        <v>12</v>
      </c>
      <c r="N69" s="4">
        <v>0</v>
      </c>
      <c r="O69" s="4">
        <f t="shared" si="1"/>
        <v>0</v>
      </c>
      <c r="P69" s="4">
        <v>0</v>
      </c>
      <c r="Q69" s="4">
        <v>0</v>
      </c>
      <c r="R69" s="4">
        <v>0</v>
      </c>
      <c r="S69" s="4">
        <v>0</v>
      </c>
      <c r="T69" s="2" t="s">
        <v>5165</v>
      </c>
      <c r="U69" s="2" t="s">
        <v>3418</v>
      </c>
      <c r="V69" s="2" t="s">
        <v>2</v>
      </c>
      <c r="W69" s="2" t="s">
        <v>2</v>
      </c>
    </row>
    <row r="70" spans="1:23" ht="24" customHeight="1" x14ac:dyDescent="0.3">
      <c r="A70" s="2" t="s">
        <v>539</v>
      </c>
      <c r="B70" s="11"/>
      <c r="C70" s="11"/>
      <c r="D70" s="2" t="s">
        <v>5166</v>
      </c>
      <c r="E70" s="2" t="s">
        <v>5167</v>
      </c>
      <c r="F70" s="2" t="s">
        <v>5168</v>
      </c>
      <c r="G70" s="2" t="s">
        <v>2</v>
      </c>
      <c r="H70" s="2" t="s">
        <v>124</v>
      </c>
      <c r="I70" s="2" t="s">
        <v>28</v>
      </c>
      <c r="J70" s="2" t="s">
        <v>2</v>
      </c>
      <c r="K70" s="2" t="s">
        <v>5169</v>
      </c>
      <c r="L70" s="2" t="s">
        <v>551</v>
      </c>
      <c r="M70" s="4">
        <v>3</v>
      </c>
      <c r="N70" s="4">
        <v>0</v>
      </c>
      <c r="O70" s="4">
        <f t="shared" si="1"/>
        <v>0</v>
      </c>
      <c r="P70" s="4">
        <v>0</v>
      </c>
      <c r="Q70" s="4">
        <v>0</v>
      </c>
      <c r="R70" s="4">
        <v>0</v>
      </c>
      <c r="S70" s="4">
        <v>0</v>
      </c>
      <c r="T70" s="2" t="s">
        <v>5170</v>
      </c>
      <c r="U70" s="2" t="s">
        <v>3567</v>
      </c>
      <c r="V70" s="2" t="s">
        <v>2</v>
      </c>
      <c r="W70" s="2" t="s">
        <v>2</v>
      </c>
    </row>
    <row r="71" spans="1:23" ht="24" customHeight="1" x14ac:dyDescent="0.3">
      <c r="A71" s="2" t="s">
        <v>540</v>
      </c>
      <c r="B71" s="11"/>
      <c r="C71" s="11"/>
      <c r="D71" s="2" t="s">
        <v>5171</v>
      </c>
      <c r="E71" s="2" t="s">
        <v>5172</v>
      </c>
      <c r="F71" s="2" t="s">
        <v>5173</v>
      </c>
      <c r="G71" s="2" t="s">
        <v>2</v>
      </c>
      <c r="H71" s="2" t="s">
        <v>124</v>
      </c>
      <c r="I71" s="2" t="s">
        <v>28</v>
      </c>
      <c r="J71" s="2" t="s">
        <v>2</v>
      </c>
      <c r="K71" s="2" t="s">
        <v>5174</v>
      </c>
      <c r="L71" s="2" t="s">
        <v>551</v>
      </c>
      <c r="M71" s="4">
        <v>3.4</v>
      </c>
      <c r="N71" s="4">
        <v>0</v>
      </c>
      <c r="O71" s="4">
        <f t="shared" si="1"/>
        <v>0</v>
      </c>
      <c r="P71" s="4">
        <v>0</v>
      </c>
      <c r="Q71" s="4">
        <v>0</v>
      </c>
      <c r="R71" s="4">
        <v>0</v>
      </c>
      <c r="S71" s="4">
        <v>0</v>
      </c>
      <c r="T71" s="2" t="s">
        <v>5175</v>
      </c>
      <c r="U71" s="2" t="s">
        <v>3470</v>
      </c>
      <c r="V71" s="2" t="s">
        <v>2</v>
      </c>
      <c r="W71" s="2" t="s">
        <v>2</v>
      </c>
    </row>
    <row r="72" spans="1:23" ht="24" customHeight="1" x14ac:dyDescent="0.3">
      <c r="A72" s="2" t="s">
        <v>541</v>
      </c>
      <c r="B72" s="11"/>
      <c r="C72" s="11"/>
      <c r="D72" s="2" t="s">
        <v>5176</v>
      </c>
      <c r="E72" s="2" t="s">
        <v>2723</v>
      </c>
      <c r="F72" s="2" t="s">
        <v>2724</v>
      </c>
      <c r="G72" s="2" t="s">
        <v>2</v>
      </c>
      <c r="H72" s="2" t="s">
        <v>124</v>
      </c>
      <c r="I72" s="2" t="s">
        <v>28</v>
      </c>
      <c r="J72" s="2" t="s">
        <v>2</v>
      </c>
      <c r="K72" s="2" t="s">
        <v>5177</v>
      </c>
      <c r="L72" s="2" t="s">
        <v>551</v>
      </c>
      <c r="M72" s="4">
        <v>80</v>
      </c>
      <c r="N72" s="4">
        <v>3675.7</v>
      </c>
      <c r="O72" s="4">
        <f t="shared" si="1"/>
        <v>0.1</v>
      </c>
      <c r="P72" s="4">
        <v>0</v>
      </c>
      <c r="Q72" s="4">
        <v>0</v>
      </c>
      <c r="R72" s="4">
        <v>0</v>
      </c>
      <c r="S72" s="4">
        <v>0.1</v>
      </c>
      <c r="T72" s="2" t="s">
        <v>5178</v>
      </c>
      <c r="U72" s="2" t="s">
        <v>5179</v>
      </c>
      <c r="V72" s="2" t="s">
        <v>2</v>
      </c>
      <c r="W72" s="2" t="s">
        <v>2</v>
      </c>
    </row>
    <row r="73" spans="1:23" ht="24" customHeight="1" x14ac:dyDescent="0.3">
      <c r="A73" s="2" t="s">
        <v>542</v>
      </c>
      <c r="B73" s="11"/>
      <c r="C73" s="11"/>
      <c r="D73" s="2" t="s">
        <v>3396</v>
      </c>
      <c r="E73" s="2" t="s">
        <v>3622</v>
      </c>
      <c r="F73" s="2" t="s">
        <v>5180</v>
      </c>
      <c r="G73" s="2" t="s">
        <v>2</v>
      </c>
      <c r="H73" s="2" t="s">
        <v>124</v>
      </c>
      <c r="I73" s="2" t="s">
        <v>28</v>
      </c>
      <c r="J73" s="2" t="s">
        <v>2</v>
      </c>
      <c r="K73" s="2" t="s">
        <v>5181</v>
      </c>
      <c r="L73" s="2" t="s">
        <v>514</v>
      </c>
      <c r="M73" s="4">
        <v>40</v>
      </c>
      <c r="N73" s="4">
        <v>1063.8</v>
      </c>
      <c r="O73" s="4">
        <f t="shared" si="1"/>
        <v>0</v>
      </c>
      <c r="P73" s="4">
        <v>0</v>
      </c>
      <c r="Q73" s="4">
        <v>0</v>
      </c>
      <c r="R73" s="4">
        <v>0</v>
      </c>
      <c r="S73" s="4">
        <v>0</v>
      </c>
      <c r="T73" s="2" t="s">
        <v>5182</v>
      </c>
      <c r="U73" s="2" t="s">
        <v>805</v>
      </c>
      <c r="V73" s="2" t="s">
        <v>2</v>
      </c>
      <c r="W73" s="2" t="s">
        <v>2</v>
      </c>
    </row>
    <row r="74" spans="1:23" ht="24" customHeight="1" x14ac:dyDescent="0.3">
      <c r="A74" s="2" t="s">
        <v>544</v>
      </c>
      <c r="B74" s="11"/>
      <c r="C74" s="11"/>
      <c r="D74" s="2" t="s">
        <v>5183</v>
      </c>
      <c r="E74" s="2" t="s">
        <v>3564</v>
      </c>
      <c r="F74" s="2" t="s">
        <v>5184</v>
      </c>
      <c r="G74" s="2" t="s">
        <v>2</v>
      </c>
      <c r="H74" s="2" t="s">
        <v>124</v>
      </c>
      <c r="I74" s="2" t="s">
        <v>28</v>
      </c>
      <c r="J74" s="2" t="s">
        <v>2</v>
      </c>
      <c r="K74" s="2" t="s">
        <v>5185</v>
      </c>
      <c r="L74" s="2" t="s">
        <v>551</v>
      </c>
      <c r="M74" s="4">
        <v>120</v>
      </c>
      <c r="N74" s="4">
        <v>0</v>
      </c>
      <c r="O74" s="4">
        <f t="shared" si="1"/>
        <v>0</v>
      </c>
      <c r="P74" s="4">
        <v>0</v>
      </c>
      <c r="Q74" s="4">
        <v>0</v>
      </c>
      <c r="R74" s="4">
        <v>0</v>
      </c>
      <c r="S74" s="4">
        <v>0</v>
      </c>
      <c r="T74" s="2" t="s">
        <v>2</v>
      </c>
      <c r="U74" s="2" t="s">
        <v>3640</v>
      </c>
      <c r="V74" s="2" t="s">
        <v>2</v>
      </c>
      <c r="W74" s="2" t="s">
        <v>2</v>
      </c>
    </row>
    <row r="75" spans="1:23" ht="24" customHeight="1" x14ac:dyDescent="0.3">
      <c r="A75" s="2" t="s">
        <v>545</v>
      </c>
      <c r="B75" s="11"/>
      <c r="C75" s="11"/>
      <c r="D75" s="2" t="s">
        <v>5186</v>
      </c>
      <c r="E75" s="2" t="s">
        <v>3687</v>
      </c>
      <c r="F75" s="2" t="s">
        <v>5187</v>
      </c>
      <c r="G75" s="2" t="s">
        <v>2</v>
      </c>
      <c r="H75" s="2" t="s">
        <v>124</v>
      </c>
      <c r="I75" s="2" t="s">
        <v>28</v>
      </c>
      <c r="J75" s="2" t="s">
        <v>2</v>
      </c>
      <c r="K75" s="2" t="s">
        <v>5188</v>
      </c>
      <c r="L75" s="2" t="s">
        <v>551</v>
      </c>
      <c r="M75" s="4">
        <v>160</v>
      </c>
      <c r="N75" s="4">
        <v>7056.1</v>
      </c>
      <c r="O75" s="4">
        <f t="shared" si="1"/>
        <v>364.5</v>
      </c>
      <c r="P75" s="4">
        <v>364.5</v>
      </c>
      <c r="Q75" s="4">
        <v>0</v>
      </c>
      <c r="R75" s="4">
        <v>0</v>
      </c>
      <c r="S75" s="4">
        <v>0</v>
      </c>
      <c r="T75" s="2" t="s">
        <v>5189</v>
      </c>
      <c r="U75" s="2" t="s">
        <v>4514</v>
      </c>
      <c r="V75" s="2" t="s">
        <v>2</v>
      </c>
      <c r="W75" s="2" t="s">
        <v>2</v>
      </c>
    </row>
    <row r="76" spans="1:23" ht="24" customHeight="1" x14ac:dyDescent="0.3">
      <c r="A76" s="2" t="s">
        <v>364</v>
      </c>
      <c r="B76" s="11"/>
      <c r="C76" s="11"/>
      <c r="D76" s="2" t="s">
        <v>3570</v>
      </c>
      <c r="E76" s="2" t="s">
        <v>3689</v>
      </c>
      <c r="F76" s="2" t="s">
        <v>5190</v>
      </c>
      <c r="G76" s="2" t="s">
        <v>2</v>
      </c>
      <c r="H76" s="2" t="s">
        <v>124</v>
      </c>
      <c r="I76" s="2" t="s">
        <v>28</v>
      </c>
      <c r="J76" s="2" t="s">
        <v>2</v>
      </c>
      <c r="K76" s="2" t="s">
        <v>5191</v>
      </c>
      <c r="L76" s="2" t="s">
        <v>551</v>
      </c>
      <c r="M76" s="4">
        <v>80</v>
      </c>
      <c r="N76" s="4">
        <v>9042.2000000000007</v>
      </c>
      <c r="O76" s="4">
        <f t="shared" si="1"/>
        <v>205.8</v>
      </c>
      <c r="P76" s="4">
        <v>205.8</v>
      </c>
      <c r="Q76" s="4">
        <v>0</v>
      </c>
      <c r="R76" s="4">
        <v>0</v>
      </c>
      <c r="S76" s="4">
        <v>0</v>
      </c>
      <c r="T76" s="2" t="s">
        <v>2</v>
      </c>
      <c r="U76" s="2" t="s">
        <v>3407</v>
      </c>
      <c r="V76" s="2" t="s">
        <v>2</v>
      </c>
      <c r="W76" s="2" t="s">
        <v>2</v>
      </c>
    </row>
    <row r="77" spans="1:23" ht="24" customHeight="1" x14ac:dyDescent="0.3">
      <c r="A77" s="2" t="s">
        <v>546</v>
      </c>
      <c r="B77" s="11"/>
      <c r="C77" s="11"/>
      <c r="D77" s="2" t="s">
        <v>5192</v>
      </c>
      <c r="E77" s="2" t="s">
        <v>589</v>
      </c>
      <c r="F77" s="2" t="s">
        <v>4440</v>
      </c>
      <c r="G77" s="2" t="s">
        <v>2</v>
      </c>
      <c r="H77" s="2" t="s">
        <v>124</v>
      </c>
      <c r="I77" s="2" t="s">
        <v>28</v>
      </c>
      <c r="J77" s="2" t="s">
        <v>2</v>
      </c>
      <c r="K77" s="2" t="s">
        <v>5193</v>
      </c>
      <c r="L77" s="2" t="s">
        <v>5194</v>
      </c>
      <c r="M77" s="4">
        <v>20</v>
      </c>
      <c r="N77" s="4">
        <v>3846</v>
      </c>
      <c r="O77" s="4">
        <f t="shared" si="1"/>
        <v>0</v>
      </c>
      <c r="P77" s="4">
        <v>0</v>
      </c>
      <c r="Q77" s="4">
        <v>0</v>
      </c>
      <c r="R77" s="4">
        <v>0</v>
      </c>
      <c r="S77" s="4">
        <v>0</v>
      </c>
      <c r="T77" s="2" t="s">
        <v>2</v>
      </c>
      <c r="U77" s="2" t="s">
        <v>573</v>
      </c>
      <c r="V77" s="2" t="s">
        <v>2</v>
      </c>
      <c r="W77" s="2" t="s">
        <v>5195</v>
      </c>
    </row>
    <row r="78" spans="1:23" ht="24" customHeight="1" x14ac:dyDescent="0.3">
      <c r="A78" s="2" t="s">
        <v>547</v>
      </c>
      <c r="B78" s="11"/>
      <c r="C78" s="11"/>
      <c r="D78" s="2" t="s">
        <v>5196</v>
      </c>
      <c r="E78" s="2" t="s">
        <v>3133</v>
      </c>
      <c r="F78" s="2" t="s">
        <v>5197</v>
      </c>
      <c r="G78" s="2" t="s">
        <v>2</v>
      </c>
      <c r="H78" s="2" t="s">
        <v>124</v>
      </c>
      <c r="I78" s="2" t="s">
        <v>28</v>
      </c>
      <c r="J78" s="2" t="s">
        <v>2</v>
      </c>
      <c r="K78" s="2" t="s">
        <v>5198</v>
      </c>
      <c r="L78" s="2" t="s">
        <v>551</v>
      </c>
      <c r="M78" s="4">
        <v>446</v>
      </c>
      <c r="N78" s="4">
        <v>74889</v>
      </c>
      <c r="O78" s="4">
        <f t="shared" si="1"/>
        <v>12843.300000000001</v>
      </c>
      <c r="P78" s="4">
        <v>2130.8000000000002</v>
      </c>
      <c r="Q78" s="4">
        <v>1697.8</v>
      </c>
      <c r="R78" s="4">
        <v>0</v>
      </c>
      <c r="S78" s="4">
        <v>9014.7000000000007</v>
      </c>
      <c r="T78" s="2" t="s">
        <v>5199</v>
      </c>
      <c r="U78" s="2" t="s">
        <v>5148</v>
      </c>
      <c r="V78" s="2" t="s">
        <v>2</v>
      </c>
      <c r="W78" s="2" t="s">
        <v>2</v>
      </c>
    </row>
    <row r="79" spans="1:23" ht="24" customHeight="1" x14ac:dyDescent="0.3">
      <c r="A79" s="2" t="s">
        <v>548</v>
      </c>
      <c r="B79" s="11"/>
      <c r="C79" s="11"/>
      <c r="D79" s="2" t="s">
        <v>4441</v>
      </c>
      <c r="E79" s="2" t="s">
        <v>4812</v>
      </c>
      <c r="F79" s="2" t="s">
        <v>5200</v>
      </c>
      <c r="G79" s="2" t="s">
        <v>2</v>
      </c>
      <c r="H79" s="2" t="s">
        <v>124</v>
      </c>
      <c r="I79" s="2" t="s">
        <v>28</v>
      </c>
      <c r="J79" s="2" t="s">
        <v>2</v>
      </c>
      <c r="K79" s="2" t="s">
        <v>5201</v>
      </c>
      <c r="L79" s="2" t="s">
        <v>551</v>
      </c>
      <c r="M79" s="4">
        <v>48</v>
      </c>
      <c r="N79" s="4">
        <v>16490</v>
      </c>
      <c r="O79" s="4">
        <f t="shared" si="1"/>
        <v>2959</v>
      </c>
      <c r="P79" s="4">
        <v>2959</v>
      </c>
      <c r="Q79" s="4">
        <v>0</v>
      </c>
      <c r="R79" s="4">
        <v>0</v>
      </c>
      <c r="S79" s="4">
        <v>0</v>
      </c>
      <c r="T79" s="2" t="s">
        <v>4444</v>
      </c>
      <c r="U79" s="2" t="s">
        <v>3617</v>
      </c>
      <c r="V79" s="2" t="s">
        <v>2</v>
      </c>
      <c r="W79" s="2" t="s">
        <v>5195</v>
      </c>
    </row>
    <row r="80" spans="1:23" ht="24" customHeight="1" x14ac:dyDescent="0.3">
      <c r="A80" s="2" t="s">
        <v>549</v>
      </c>
      <c r="B80" s="11"/>
      <c r="C80" s="11"/>
      <c r="D80" s="2" t="s">
        <v>2911</v>
      </c>
      <c r="E80" s="2" t="s">
        <v>2912</v>
      </c>
      <c r="F80" s="2" t="s">
        <v>5202</v>
      </c>
      <c r="G80" s="2" t="s">
        <v>2</v>
      </c>
      <c r="H80" s="2" t="s">
        <v>124</v>
      </c>
      <c r="I80" s="2" t="s">
        <v>28</v>
      </c>
      <c r="J80" s="2" t="s">
        <v>2</v>
      </c>
      <c r="K80" s="2" t="s">
        <v>5203</v>
      </c>
      <c r="L80" s="2" t="s">
        <v>551</v>
      </c>
      <c r="M80" s="4">
        <v>120</v>
      </c>
      <c r="N80" s="4">
        <v>11841</v>
      </c>
      <c r="O80" s="4">
        <f t="shared" si="1"/>
        <v>1404</v>
      </c>
      <c r="P80" s="4">
        <v>1404</v>
      </c>
      <c r="Q80" s="4">
        <v>0</v>
      </c>
      <c r="R80" s="4">
        <v>0</v>
      </c>
      <c r="S80" s="4">
        <v>0</v>
      </c>
      <c r="T80" s="2" t="s">
        <v>2914</v>
      </c>
      <c r="U80" s="2" t="s">
        <v>3650</v>
      </c>
      <c r="V80" s="2" t="s">
        <v>2</v>
      </c>
      <c r="W80" s="2" t="s">
        <v>2</v>
      </c>
    </row>
    <row r="81" spans="1:23" ht="24" customHeight="1" x14ac:dyDescent="0.3">
      <c r="A81" s="2" t="s">
        <v>550</v>
      </c>
      <c r="B81" s="11"/>
      <c r="C81" s="11"/>
      <c r="D81" s="2" t="s">
        <v>4500</v>
      </c>
      <c r="E81" s="2" t="s">
        <v>4501</v>
      </c>
      <c r="F81" s="2" t="s">
        <v>5204</v>
      </c>
      <c r="G81" s="2" t="s">
        <v>2</v>
      </c>
      <c r="H81" s="2" t="s">
        <v>124</v>
      </c>
      <c r="I81" s="2" t="s">
        <v>28</v>
      </c>
      <c r="J81" s="2" t="s">
        <v>2</v>
      </c>
      <c r="K81" s="2" t="s">
        <v>5205</v>
      </c>
      <c r="L81" s="2" t="s">
        <v>551</v>
      </c>
      <c r="M81" s="4">
        <v>32</v>
      </c>
      <c r="N81" s="4">
        <v>868</v>
      </c>
      <c r="O81" s="4">
        <f t="shared" si="1"/>
        <v>0</v>
      </c>
      <c r="P81" s="4">
        <v>0</v>
      </c>
      <c r="Q81" s="4">
        <v>0</v>
      </c>
      <c r="R81" s="4">
        <v>0</v>
      </c>
      <c r="S81" s="4">
        <v>0</v>
      </c>
      <c r="T81" s="2" t="s">
        <v>5206</v>
      </c>
      <c r="U81" s="2" t="s">
        <v>3590</v>
      </c>
      <c r="V81" s="2" t="s">
        <v>2</v>
      </c>
      <c r="W81" s="2" t="s">
        <v>2</v>
      </c>
    </row>
    <row r="82" spans="1:23" ht="24" customHeight="1" x14ac:dyDescent="0.3">
      <c r="A82" s="2" t="s">
        <v>552</v>
      </c>
      <c r="B82" s="11"/>
      <c r="C82" s="11"/>
      <c r="D82" s="2" t="s">
        <v>5207</v>
      </c>
      <c r="E82" s="2" t="s">
        <v>1655</v>
      </c>
      <c r="F82" s="2" t="s">
        <v>5208</v>
      </c>
      <c r="G82" s="2" t="s">
        <v>2</v>
      </c>
      <c r="H82" s="2" t="s">
        <v>124</v>
      </c>
      <c r="I82" s="2" t="s">
        <v>28</v>
      </c>
      <c r="J82" s="2" t="s">
        <v>2</v>
      </c>
      <c r="K82" s="2" t="s">
        <v>5209</v>
      </c>
      <c r="L82" s="2" t="s">
        <v>514</v>
      </c>
      <c r="M82" s="4">
        <v>10</v>
      </c>
      <c r="N82" s="4">
        <v>1409.7</v>
      </c>
      <c r="O82" s="4">
        <f t="shared" si="1"/>
        <v>39.6</v>
      </c>
      <c r="P82" s="4">
        <v>39.6</v>
      </c>
      <c r="Q82" s="4">
        <v>0</v>
      </c>
      <c r="R82" s="4">
        <v>0</v>
      </c>
      <c r="S82" s="4">
        <v>0</v>
      </c>
      <c r="T82" s="2" t="s">
        <v>5210</v>
      </c>
      <c r="U82" s="2" t="s">
        <v>4579</v>
      </c>
      <c r="V82" s="2" t="s">
        <v>2</v>
      </c>
      <c r="W82" s="2" t="s">
        <v>2</v>
      </c>
    </row>
    <row r="83" spans="1:23" ht="24" customHeight="1" x14ac:dyDescent="0.3">
      <c r="A83" s="2" t="s">
        <v>553</v>
      </c>
      <c r="B83" s="11"/>
      <c r="C83" s="11"/>
      <c r="D83" s="2" t="s">
        <v>4505</v>
      </c>
      <c r="E83" s="2" t="s">
        <v>4506</v>
      </c>
      <c r="F83" s="2" t="s">
        <v>5211</v>
      </c>
      <c r="G83" s="2" t="s">
        <v>2</v>
      </c>
      <c r="H83" s="2" t="s">
        <v>124</v>
      </c>
      <c r="I83" s="2" t="s">
        <v>28</v>
      </c>
      <c r="J83" s="2" t="s">
        <v>2</v>
      </c>
      <c r="K83" s="2" t="s">
        <v>5212</v>
      </c>
      <c r="L83" s="2" t="s">
        <v>551</v>
      </c>
      <c r="M83" s="4">
        <v>32</v>
      </c>
      <c r="N83" s="4">
        <v>0</v>
      </c>
      <c r="O83" s="4">
        <f t="shared" si="1"/>
        <v>0</v>
      </c>
      <c r="P83" s="4">
        <v>0</v>
      </c>
      <c r="Q83" s="4">
        <v>0</v>
      </c>
      <c r="R83" s="4">
        <v>0</v>
      </c>
      <c r="S83" s="4">
        <v>0</v>
      </c>
      <c r="T83" s="2" t="s">
        <v>5213</v>
      </c>
      <c r="U83" s="2" t="s">
        <v>3628</v>
      </c>
      <c r="V83" s="2" t="s">
        <v>2</v>
      </c>
      <c r="W83" s="2" t="s">
        <v>2</v>
      </c>
    </row>
    <row r="84" spans="1:23" ht="24" customHeight="1" x14ac:dyDescent="0.3">
      <c r="A84" s="2" t="s">
        <v>554</v>
      </c>
      <c r="B84" s="11"/>
      <c r="C84" s="11"/>
      <c r="D84" s="2" t="s">
        <v>2740</v>
      </c>
      <c r="E84" s="2" t="s">
        <v>2741</v>
      </c>
      <c r="F84" s="2" t="s">
        <v>5214</v>
      </c>
      <c r="G84" s="2" t="s">
        <v>2</v>
      </c>
      <c r="H84" s="2" t="s">
        <v>124</v>
      </c>
      <c r="I84" s="2" t="s">
        <v>28</v>
      </c>
      <c r="J84" s="2" t="s">
        <v>2</v>
      </c>
      <c r="K84" s="2" t="s">
        <v>5215</v>
      </c>
      <c r="L84" s="2" t="s">
        <v>551</v>
      </c>
      <c r="M84" s="4">
        <v>150</v>
      </c>
      <c r="N84" s="4">
        <v>24051.599999999999</v>
      </c>
      <c r="O84" s="4">
        <f t="shared" si="1"/>
        <v>0</v>
      </c>
      <c r="P84" s="4">
        <v>0</v>
      </c>
      <c r="Q84" s="4">
        <v>0</v>
      </c>
      <c r="R84" s="4">
        <v>0</v>
      </c>
      <c r="S84" s="4">
        <v>0</v>
      </c>
      <c r="T84" s="2" t="s">
        <v>2743</v>
      </c>
      <c r="U84" s="2" t="s">
        <v>3434</v>
      </c>
      <c r="V84" s="2" t="s">
        <v>2</v>
      </c>
      <c r="W84" s="2" t="s">
        <v>2</v>
      </c>
    </row>
    <row r="85" spans="1:23" ht="24" customHeight="1" x14ac:dyDescent="0.3">
      <c r="A85" s="2" t="s">
        <v>646</v>
      </c>
      <c r="B85" s="11"/>
      <c r="C85" s="11"/>
      <c r="D85" s="2" t="s">
        <v>5216</v>
      </c>
      <c r="E85" s="2" t="s">
        <v>5217</v>
      </c>
      <c r="F85" s="2" t="s">
        <v>5218</v>
      </c>
      <c r="G85" s="2" t="s">
        <v>2</v>
      </c>
      <c r="H85" s="2" t="s">
        <v>124</v>
      </c>
      <c r="I85" s="2" t="s">
        <v>28</v>
      </c>
      <c r="J85" s="2" t="s">
        <v>2</v>
      </c>
      <c r="K85" s="2" t="s">
        <v>5219</v>
      </c>
      <c r="L85" s="2" t="s">
        <v>551</v>
      </c>
      <c r="M85" s="4">
        <v>48</v>
      </c>
      <c r="N85" s="4">
        <v>4906</v>
      </c>
      <c r="O85" s="4">
        <f t="shared" si="1"/>
        <v>466</v>
      </c>
      <c r="P85" s="4">
        <v>466</v>
      </c>
      <c r="Q85" s="4">
        <v>0</v>
      </c>
      <c r="R85" s="4">
        <v>0</v>
      </c>
      <c r="S85" s="4">
        <v>0</v>
      </c>
      <c r="T85" s="2" t="s">
        <v>5220</v>
      </c>
      <c r="U85" s="2" t="s">
        <v>3401</v>
      </c>
      <c r="V85" s="2" t="s">
        <v>310</v>
      </c>
      <c r="W85" s="2" t="s">
        <v>2</v>
      </c>
    </row>
    <row r="86" spans="1:23" ht="24" customHeight="1" x14ac:dyDescent="0.3">
      <c r="A86" s="2" t="s">
        <v>648</v>
      </c>
      <c r="B86" s="11"/>
      <c r="C86" s="11"/>
      <c r="D86" s="2" t="s">
        <v>5221</v>
      </c>
      <c r="E86" s="2" t="s">
        <v>3251</v>
      </c>
      <c r="F86" s="2" t="s">
        <v>5222</v>
      </c>
      <c r="G86" s="2" t="s">
        <v>2</v>
      </c>
      <c r="H86" s="2" t="s">
        <v>124</v>
      </c>
      <c r="I86" s="2" t="s">
        <v>28</v>
      </c>
      <c r="J86" s="2" t="s">
        <v>2</v>
      </c>
      <c r="K86" s="2" t="s">
        <v>5223</v>
      </c>
      <c r="L86" s="2" t="s">
        <v>551</v>
      </c>
      <c r="M86" s="4">
        <v>25</v>
      </c>
      <c r="N86" s="4">
        <v>0</v>
      </c>
      <c r="O86" s="4">
        <f t="shared" si="1"/>
        <v>0</v>
      </c>
      <c r="P86" s="4">
        <v>0</v>
      </c>
      <c r="Q86" s="4">
        <v>0</v>
      </c>
      <c r="R86" s="4">
        <v>0</v>
      </c>
      <c r="S86" s="4">
        <v>0</v>
      </c>
      <c r="T86" s="2" t="s">
        <v>5224</v>
      </c>
      <c r="U86" s="2" t="s">
        <v>1023</v>
      </c>
      <c r="V86" s="2" t="s">
        <v>2</v>
      </c>
      <c r="W86" s="2" t="s">
        <v>2</v>
      </c>
    </row>
    <row r="87" spans="1:23" ht="24" customHeight="1" x14ac:dyDescent="0.3">
      <c r="A87" s="2" t="s">
        <v>649</v>
      </c>
      <c r="B87" s="11"/>
      <c r="C87" s="11"/>
      <c r="D87" s="2" t="s">
        <v>2754</v>
      </c>
      <c r="E87" s="2" t="s">
        <v>2750</v>
      </c>
      <c r="F87" s="2" t="s">
        <v>5225</v>
      </c>
      <c r="G87" s="2" t="s">
        <v>2</v>
      </c>
      <c r="H87" s="2" t="s">
        <v>124</v>
      </c>
      <c r="I87" s="2" t="s">
        <v>28</v>
      </c>
      <c r="J87" s="2" t="s">
        <v>2</v>
      </c>
      <c r="K87" s="2" t="s">
        <v>5226</v>
      </c>
      <c r="L87" s="2" t="s">
        <v>551</v>
      </c>
      <c r="M87" s="4">
        <v>280</v>
      </c>
      <c r="N87" s="4">
        <v>48178.8</v>
      </c>
      <c r="O87" s="4">
        <f t="shared" si="1"/>
        <v>3198.9</v>
      </c>
      <c r="P87" s="4">
        <v>3133</v>
      </c>
      <c r="Q87" s="4">
        <v>0</v>
      </c>
      <c r="R87" s="4">
        <v>65.900000000000006</v>
      </c>
      <c r="S87" s="4">
        <v>0</v>
      </c>
      <c r="T87" s="2" t="s">
        <v>2756</v>
      </c>
      <c r="U87" s="2" t="s">
        <v>2357</v>
      </c>
      <c r="V87" s="2" t="s">
        <v>2</v>
      </c>
      <c r="W87" s="2" t="s">
        <v>2</v>
      </c>
    </row>
    <row r="88" spans="1:23" ht="24" customHeight="1" x14ac:dyDescent="0.3">
      <c r="A88" s="2" t="s">
        <v>650</v>
      </c>
      <c r="B88" s="11"/>
      <c r="C88" s="11"/>
      <c r="D88" s="2" t="s">
        <v>5227</v>
      </c>
      <c r="E88" s="2" t="s">
        <v>5228</v>
      </c>
      <c r="F88" s="2" t="s">
        <v>5229</v>
      </c>
      <c r="G88" s="2" t="s">
        <v>2</v>
      </c>
      <c r="H88" s="2" t="s">
        <v>124</v>
      </c>
      <c r="I88" s="2" t="s">
        <v>28</v>
      </c>
      <c r="J88" s="2" t="s">
        <v>2</v>
      </c>
      <c r="K88" s="2" t="s">
        <v>5230</v>
      </c>
      <c r="L88" s="2" t="s">
        <v>551</v>
      </c>
      <c r="M88" s="4">
        <v>4</v>
      </c>
      <c r="N88" s="4">
        <v>0</v>
      </c>
      <c r="O88" s="4">
        <f t="shared" si="1"/>
        <v>0</v>
      </c>
      <c r="P88" s="4">
        <v>0</v>
      </c>
      <c r="Q88" s="4">
        <v>0</v>
      </c>
      <c r="R88" s="4">
        <v>0</v>
      </c>
      <c r="S88" s="4">
        <v>0</v>
      </c>
      <c r="T88" s="2" t="s">
        <v>5231</v>
      </c>
      <c r="U88" s="2" t="s">
        <v>3624</v>
      </c>
      <c r="V88" s="2" t="s">
        <v>2</v>
      </c>
      <c r="W88" s="2" t="s">
        <v>2</v>
      </c>
    </row>
    <row r="89" spans="1:23" ht="24" customHeight="1" x14ac:dyDescent="0.3">
      <c r="A89" s="2" t="s">
        <v>652</v>
      </c>
      <c r="B89" s="11"/>
      <c r="C89" s="11"/>
      <c r="D89" s="2" t="s">
        <v>5232</v>
      </c>
      <c r="E89" s="2" t="s">
        <v>5233</v>
      </c>
      <c r="F89" s="2" t="s">
        <v>2761</v>
      </c>
      <c r="G89" s="2" t="s">
        <v>2</v>
      </c>
      <c r="H89" s="2" t="s">
        <v>124</v>
      </c>
      <c r="I89" s="2" t="s">
        <v>28</v>
      </c>
      <c r="J89" s="2" t="s">
        <v>2</v>
      </c>
      <c r="K89" s="2" t="s">
        <v>5234</v>
      </c>
      <c r="L89" s="2" t="s">
        <v>4569</v>
      </c>
      <c r="M89" s="4">
        <v>96</v>
      </c>
      <c r="N89" s="4">
        <v>30105.7</v>
      </c>
      <c r="O89" s="4">
        <f t="shared" si="1"/>
        <v>10782.9</v>
      </c>
      <c r="P89" s="4">
        <v>321.60000000000002</v>
      </c>
      <c r="Q89" s="4">
        <v>0</v>
      </c>
      <c r="R89" s="4">
        <v>0</v>
      </c>
      <c r="S89" s="4">
        <v>10461.299999999999</v>
      </c>
      <c r="T89" s="2" t="s">
        <v>5235</v>
      </c>
      <c r="U89" s="2" t="s">
        <v>570</v>
      </c>
      <c r="V89" s="2" t="s">
        <v>2</v>
      </c>
      <c r="W89" s="2" t="s">
        <v>5236</v>
      </c>
    </row>
    <row r="90" spans="1:23" ht="24" customHeight="1" x14ac:dyDescent="0.3">
      <c r="A90" s="2" t="s">
        <v>653</v>
      </c>
      <c r="B90" s="11"/>
      <c r="C90" s="11"/>
      <c r="D90" s="2" t="s">
        <v>2765</v>
      </c>
      <c r="E90" s="2" t="s">
        <v>2766</v>
      </c>
      <c r="F90" s="2" t="s">
        <v>2767</v>
      </c>
      <c r="G90" s="2" t="s">
        <v>2</v>
      </c>
      <c r="H90" s="2" t="s">
        <v>124</v>
      </c>
      <c r="I90" s="2" t="s">
        <v>28</v>
      </c>
      <c r="J90" s="2" t="s">
        <v>2</v>
      </c>
      <c r="K90" s="2" t="s">
        <v>5237</v>
      </c>
      <c r="L90" s="2" t="s">
        <v>551</v>
      </c>
      <c r="M90" s="4">
        <v>24</v>
      </c>
      <c r="N90" s="4">
        <v>1382.9</v>
      </c>
      <c r="O90" s="4">
        <f t="shared" si="1"/>
        <v>1390.8</v>
      </c>
      <c r="P90" s="4">
        <v>1386.3</v>
      </c>
      <c r="Q90" s="4">
        <v>4.5</v>
      </c>
      <c r="R90" s="4">
        <v>0</v>
      </c>
      <c r="S90" s="4">
        <v>0</v>
      </c>
      <c r="T90" s="2" t="s">
        <v>2768</v>
      </c>
      <c r="U90" s="2" t="s">
        <v>3212</v>
      </c>
      <c r="V90" s="2" t="s">
        <v>2</v>
      </c>
      <c r="W90" s="2" t="s">
        <v>2</v>
      </c>
    </row>
    <row r="91" spans="1:23" ht="24" customHeight="1" x14ac:dyDescent="0.3">
      <c r="A91" s="2" t="s">
        <v>655</v>
      </c>
      <c r="B91" s="11"/>
      <c r="C91" s="11"/>
      <c r="D91" s="2" t="s">
        <v>5238</v>
      </c>
      <c r="E91" s="2" t="s">
        <v>3461</v>
      </c>
      <c r="F91" s="2" t="s">
        <v>5239</v>
      </c>
      <c r="G91" s="2" t="s">
        <v>2</v>
      </c>
      <c r="H91" s="2" t="s">
        <v>124</v>
      </c>
      <c r="I91" s="2" t="s">
        <v>28</v>
      </c>
      <c r="J91" s="2" t="s">
        <v>2</v>
      </c>
      <c r="K91" s="2" t="s">
        <v>5240</v>
      </c>
      <c r="L91" s="2" t="s">
        <v>551</v>
      </c>
      <c r="M91" s="4">
        <v>120</v>
      </c>
      <c r="N91" s="4">
        <v>40547.300000000003</v>
      </c>
      <c r="O91" s="4">
        <f t="shared" si="1"/>
        <v>6210.8</v>
      </c>
      <c r="P91" s="4">
        <v>6210.8</v>
      </c>
      <c r="Q91" s="4">
        <v>0</v>
      </c>
      <c r="R91" s="4">
        <v>0</v>
      </c>
      <c r="S91" s="4">
        <v>0</v>
      </c>
      <c r="T91" s="2" t="s">
        <v>5241</v>
      </c>
      <c r="U91" s="2" t="s">
        <v>1198</v>
      </c>
      <c r="V91" s="2" t="s">
        <v>2</v>
      </c>
      <c r="W91" s="2" t="s">
        <v>2</v>
      </c>
    </row>
    <row r="92" spans="1:23" ht="24" customHeight="1" x14ac:dyDescent="0.3">
      <c r="A92" s="2" t="s">
        <v>656</v>
      </c>
      <c r="B92" s="11"/>
      <c r="C92" s="11"/>
      <c r="D92" s="2" t="s">
        <v>5242</v>
      </c>
      <c r="E92" s="2" t="s">
        <v>5243</v>
      </c>
      <c r="F92" s="2" t="s">
        <v>5244</v>
      </c>
      <c r="G92" s="2" t="s">
        <v>2</v>
      </c>
      <c r="H92" s="2" t="s">
        <v>124</v>
      </c>
      <c r="I92" s="2" t="s">
        <v>28</v>
      </c>
      <c r="J92" s="2" t="s">
        <v>2</v>
      </c>
      <c r="K92" s="2" t="s">
        <v>5245</v>
      </c>
      <c r="L92" s="2" t="s">
        <v>584</v>
      </c>
      <c r="M92" s="4">
        <v>1.7</v>
      </c>
      <c r="N92" s="4">
        <v>10.3</v>
      </c>
      <c r="O92" s="4">
        <f t="shared" si="1"/>
        <v>0</v>
      </c>
      <c r="P92" s="4">
        <v>0</v>
      </c>
      <c r="Q92" s="4">
        <v>0</v>
      </c>
      <c r="R92" s="4">
        <v>0</v>
      </c>
      <c r="S92" s="4">
        <v>0</v>
      </c>
      <c r="T92" s="2" t="s">
        <v>5246</v>
      </c>
      <c r="U92" s="2" t="s">
        <v>5247</v>
      </c>
      <c r="V92" s="2" t="s">
        <v>2</v>
      </c>
      <c r="W92" s="2" t="s">
        <v>2</v>
      </c>
    </row>
    <row r="93" spans="1:23" ht="24" customHeight="1" x14ac:dyDescent="0.3">
      <c r="A93" s="2" t="s">
        <v>657</v>
      </c>
      <c r="B93" s="11"/>
      <c r="C93" s="11"/>
      <c r="D93" s="2" t="s">
        <v>2791</v>
      </c>
      <c r="E93" s="2" t="s">
        <v>2792</v>
      </c>
      <c r="F93" s="2" t="s">
        <v>5248</v>
      </c>
      <c r="G93" s="2" t="s">
        <v>2</v>
      </c>
      <c r="H93" s="2" t="s">
        <v>124</v>
      </c>
      <c r="I93" s="2" t="s">
        <v>28</v>
      </c>
      <c r="J93" s="2" t="s">
        <v>2</v>
      </c>
      <c r="K93" s="2" t="s">
        <v>5249</v>
      </c>
      <c r="L93" s="2" t="s">
        <v>551</v>
      </c>
      <c r="M93" s="4">
        <v>8</v>
      </c>
      <c r="N93" s="4">
        <v>0</v>
      </c>
      <c r="O93" s="4">
        <f t="shared" si="1"/>
        <v>0</v>
      </c>
      <c r="P93" s="4">
        <v>0</v>
      </c>
      <c r="Q93" s="4">
        <v>0</v>
      </c>
      <c r="R93" s="4">
        <v>0</v>
      </c>
      <c r="S93" s="4">
        <v>0</v>
      </c>
      <c r="T93" s="2" t="s">
        <v>2794</v>
      </c>
      <c r="U93" s="2" t="s">
        <v>440</v>
      </c>
      <c r="V93" s="2" t="s">
        <v>2</v>
      </c>
      <c r="W93" s="2" t="s">
        <v>2</v>
      </c>
    </row>
    <row r="94" spans="1:23" ht="24" customHeight="1" x14ac:dyDescent="0.3">
      <c r="A94" s="2" t="s">
        <v>658</v>
      </c>
      <c r="B94" s="11"/>
      <c r="C94" s="11"/>
      <c r="D94" s="2" t="s">
        <v>5250</v>
      </c>
      <c r="E94" s="2" t="s">
        <v>4573</v>
      </c>
      <c r="F94" s="2" t="s">
        <v>5251</v>
      </c>
      <c r="G94" s="2" t="s">
        <v>2</v>
      </c>
      <c r="H94" s="2" t="s">
        <v>124</v>
      </c>
      <c r="I94" s="2" t="s">
        <v>28</v>
      </c>
      <c r="J94" s="2" t="s">
        <v>2</v>
      </c>
      <c r="K94" s="2" t="s">
        <v>5252</v>
      </c>
      <c r="L94" s="2" t="s">
        <v>551</v>
      </c>
      <c r="M94" s="4">
        <v>80</v>
      </c>
      <c r="N94" s="4">
        <v>794.6</v>
      </c>
      <c r="O94" s="4">
        <f t="shared" si="1"/>
        <v>9744.1</v>
      </c>
      <c r="P94" s="4">
        <v>0</v>
      </c>
      <c r="Q94" s="4">
        <v>0</v>
      </c>
      <c r="R94" s="4">
        <v>0</v>
      </c>
      <c r="S94" s="4">
        <v>9744.1</v>
      </c>
      <c r="T94" s="2" t="s">
        <v>3965</v>
      </c>
      <c r="U94" s="2" t="s">
        <v>3483</v>
      </c>
      <c r="V94" s="2" t="s">
        <v>2</v>
      </c>
      <c r="W94" s="2" t="s">
        <v>2</v>
      </c>
    </row>
    <row r="95" spans="1:23" ht="24" customHeight="1" x14ac:dyDescent="0.3">
      <c r="A95" s="2" t="s">
        <v>659</v>
      </c>
      <c r="B95" s="11"/>
      <c r="C95" s="11"/>
      <c r="D95" s="2" t="s">
        <v>5253</v>
      </c>
      <c r="E95" s="2" t="s">
        <v>5254</v>
      </c>
      <c r="F95" s="2" t="s">
        <v>5255</v>
      </c>
      <c r="G95" s="2" t="s">
        <v>2</v>
      </c>
      <c r="H95" s="2" t="s">
        <v>124</v>
      </c>
      <c r="I95" s="2" t="s">
        <v>28</v>
      </c>
      <c r="J95" s="2" t="s">
        <v>2</v>
      </c>
      <c r="K95" s="2" t="s">
        <v>5256</v>
      </c>
      <c r="L95" s="2" t="s">
        <v>551</v>
      </c>
      <c r="M95" s="4">
        <v>12</v>
      </c>
      <c r="N95" s="4">
        <v>0</v>
      </c>
      <c r="O95" s="4">
        <f t="shared" si="1"/>
        <v>0</v>
      </c>
      <c r="P95" s="4">
        <v>0</v>
      </c>
      <c r="Q95" s="4">
        <v>0</v>
      </c>
      <c r="R95" s="4">
        <v>0</v>
      </c>
      <c r="S95" s="4">
        <v>0</v>
      </c>
      <c r="T95" s="2" t="s">
        <v>5257</v>
      </c>
      <c r="U95" s="2" t="s">
        <v>3599</v>
      </c>
      <c r="V95" s="2" t="s">
        <v>2</v>
      </c>
      <c r="W95" s="2" t="s">
        <v>2</v>
      </c>
    </row>
    <row r="96" spans="1:23" ht="24" customHeight="1" x14ac:dyDescent="0.3">
      <c r="A96" s="2" t="s">
        <v>360</v>
      </c>
      <c r="B96" s="11"/>
      <c r="C96" s="11"/>
      <c r="D96" s="2" t="s">
        <v>4422</v>
      </c>
      <c r="E96" s="2" t="s">
        <v>3463</v>
      </c>
      <c r="F96" s="2" t="s">
        <v>5258</v>
      </c>
      <c r="G96" s="2" t="s">
        <v>2</v>
      </c>
      <c r="H96" s="2" t="s">
        <v>124</v>
      </c>
      <c r="I96" s="2" t="s">
        <v>28</v>
      </c>
      <c r="J96" s="2" t="s">
        <v>2</v>
      </c>
      <c r="K96" s="2" t="s">
        <v>5259</v>
      </c>
      <c r="L96" s="2" t="s">
        <v>551</v>
      </c>
      <c r="M96" s="4">
        <v>0.5</v>
      </c>
      <c r="N96" s="4">
        <v>0</v>
      </c>
      <c r="O96" s="4">
        <f t="shared" si="1"/>
        <v>0</v>
      </c>
      <c r="P96" s="4">
        <v>0</v>
      </c>
      <c r="Q96" s="4">
        <v>0</v>
      </c>
      <c r="R96" s="4">
        <v>0</v>
      </c>
      <c r="S96" s="4">
        <v>0</v>
      </c>
      <c r="T96" s="2" t="s">
        <v>5260</v>
      </c>
      <c r="U96" s="2" t="s">
        <v>5261</v>
      </c>
      <c r="V96" s="2" t="s">
        <v>2</v>
      </c>
      <c r="W96" s="2" t="s">
        <v>2</v>
      </c>
    </row>
    <row r="97" spans="1:23" ht="24" customHeight="1" x14ac:dyDescent="0.3">
      <c r="A97" s="2" t="s">
        <v>660</v>
      </c>
      <c r="B97" s="11"/>
      <c r="C97" s="11"/>
      <c r="D97" s="2" t="s">
        <v>5262</v>
      </c>
      <c r="E97" s="2" t="s">
        <v>2792</v>
      </c>
      <c r="F97" s="2" t="s">
        <v>5263</v>
      </c>
      <c r="G97" s="2" t="s">
        <v>2</v>
      </c>
      <c r="H97" s="2" t="s">
        <v>124</v>
      </c>
      <c r="I97" s="2" t="s">
        <v>28</v>
      </c>
      <c r="J97" s="2" t="s">
        <v>2</v>
      </c>
      <c r="K97" s="2" t="s">
        <v>5264</v>
      </c>
      <c r="L97" s="2" t="s">
        <v>551</v>
      </c>
      <c r="M97" s="4">
        <v>10</v>
      </c>
      <c r="N97" s="4">
        <v>402.8</v>
      </c>
      <c r="O97" s="4">
        <f t="shared" si="1"/>
        <v>168.1</v>
      </c>
      <c r="P97" s="4">
        <v>168.1</v>
      </c>
      <c r="Q97" s="4">
        <v>0</v>
      </c>
      <c r="R97" s="4">
        <v>0</v>
      </c>
      <c r="S97" s="4">
        <v>0</v>
      </c>
      <c r="T97" s="2" t="s">
        <v>5265</v>
      </c>
      <c r="U97" s="2" t="s">
        <v>3492</v>
      </c>
      <c r="V97" s="2" t="s">
        <v>2</v>
      </c>
      <c r="W97" s="2" t="s">
        <v>2</v>
      </c>
    </row>
    <row r="98" spans="1:23" ht="24" customHeight="1" x14ac:dyDescent="0.3">
      <c r="A98" s="2" t="s">
        <v>661</v>
      </c>
      <c r="B98" s="11"/>
      <c r="C98" s="11"/>
      <c r="D98" s="2" t="s">
        <v>4475</v>
      </c>
      <c r="E98" s="2" t="s">
        <v>4476</v>
      </c>
      <c r="F98" s="2" t="s">
        <v>5266</v>
      </c>
      <c r="G98" s="2" t="s">
        <v>2</v>
      </c>
      <c r="H98" s="2" t="s">
        <v>124</v>
      </c>
      <c r="I98" s="2" t="s">
        <v>28</v>
      </c>
      <c r="J98" s="2" t="s">
        <v>2</v>
      </c>
      <c r="K98" s="2" t="s">
        <v>5267</v>
      </c>
      <c r="L98" s="2" t="s">
        <v>551</v>
      </c>
      <c r="M98" s="4">
        <v>20</v>
      </c>
      <c r="N98" s="4">
        <v>1803.8</v>
      </c>
      <c r="O98" s="4">
        <f t="shared" si="1"/>
        <v>0</v>
      </c>
      <c r="P98" s="4">
        <v>0</v>
      </c>
      <c r="Q98" s="4">
        <v>0</v>
      </c>
      <c r="R98" s="4">
        <v>0</v>
      </c>
      <c r="S98" s="4">
        <v>0</v>
      </c>
      <c r="T98" s="2" t="s">
        <v>4478</v>
      </c>
      <c r="U98" s="2" t="s">
        <v>1072</v>
      </c>
      <c r="V98" s="2" t="s">
        <v>2</v>
      </c>
      <c r="W98" s="2" t="s">
        <v>2</v>
      </c>
    </row>
    <row r="99" spans="1:23" ht="24" customHeight="1" x14ac:dyDescent="0.3">
      <c r="A99" s="2" t="s">
        <v>365</v>
      </c>
      <c r="B99" s="11"/>
      <c r="C99" s="11"/>
      <c r="D99" s="2" t="s">
        <v>3250</v>
      </c>
      <c r="E99" s="2" t="s">
        <v>4929</v>
      </c>
      <c r="F99" s="2" t="s">
        <v>2871</v>
      </c>
      <c r="G99" s="2" t="s">
        <v>2</v>
      </c>
      <c r="H99" s="2" t="s">
        <v>124</v>
      </c>
      <c r="I99" s="2" t="s">
        <v>28</v>
      </c>
      <c r="J99" s="2" t="s">
        <v>2</v>
      </c>
      <c r="K99" s="2" t="s">
        <v>5268</v>
      </c>
      <c r="L99" s="2" t="s">
        <v>551</v>
      </c>
      <c r="M99" s="4">
        <v>324</v>
      </c>
      <c r="N99" s="4">
        <v>32605</v>
      </c>
      <c r="O99" s="4">
        <f t="shared" si="1"/>
        <v>90.9</v>
      </c>
      <c r="P99" s="4">
        <v>90.9</v>
      </c>
      <c r="Q99" s="4">
        <v>0</v>
      </c>
      <c r="R99" s="4">
        <v>0</v>
      </c>
      <c r="S99" s="4">
        <v>0</v>
      </c>
      <c r="T99" s="2" t="s">
        <v>5224</v>
      </c>
      <c r="U99" s="2" t="s">
        <v>3478</v>
      </c>
      <c r="V99" s="2" t="s">
        <v>2</v>
      </c>
      <c r="W99" s="2" t="s">
        <v>2</v>
      </c>
    </row>
    <row r="100" spans="1:23" ht="24" customHeight="1" x14ac:dyDescent="0.3">
      <c r="A100" s="2" t="s">
        <v>663</v>
      </c>
      <c r="B100" s="11"/>
      <c r="C100" s="11"/>
      <c r="D100" s="2" t="s">
        <v>5269</v>
      </c>
      <c r="E100" s="2" t="s">
        <v>5270</v>
      </c>
      <c r="F100" s="2" t="s">
        <v>5271</v>
      </c>
      <c r="G100" s="2" t="s">
        <v>2</v>
      </c>
      <c r="H100" s="2" t="s">
        <v>124</v>
      </c>
      <c r="I100" s="2" t="s">
        <v>28</v>
      </c>
      <c r="J100" s="2" t="s">
        <v>2</v>
      </c>
      <c r="K100" s="2" t="s">
        <v>5272</v>
      </c>
      <c r="L100" s="2" t="s">
        <v>551</v>
      </c>
      <c r="M100" s="4">
        <v>10</v>
      </c>
      <c r="N100" s="4">
        <v>0</v>
      </c>
      <c r="O100" s="4">
        <f t="shared" si="1"/>
        <v>0</v>
      </c>
      <c r="P100" s="4">
        <v>0</v>
      </c>
      <c r="Q100" s="4">
        <v>0</v>
      </c>
      <c r="R100" s="4">
        <v>0</v>
      </c>
      <c r="S100" s="4">
        <v>0</v>
      </c>
      <c r="T100" s="2" t="s">
        <v>2</v>
      </c>
      <c r="U100" s="2" t="s">
        <v>1942</v>
      </c>
      <c r="V100" s="2" t="s">
        <v>2</v>
      </c>
      <c r="W100" s="2" t="s">
        <v>2</v>
      </c>
    </row>
    <row r="101" spans="1:23" ht="24" customHeight="1" x14ac:dyDescent="0.3">
      <c r="A101" s="2" t="s">
        <v>664</v>
      </c>
      <c r="B101" s="11"/>
      <c r="C101" s="11"/>
      <c r="D101" s="2" t="s">
        <v>5273</v>
      </c>
      <c r="E101" s="2" t="s">
        <v>5274</v>
      </c>
      <c r="F101" s="2" t="s">
        <v>5275</v>
      </c>
      <c r="G101" s="2" t="s">
        <v>2</v>
      </c>
      <c r="H101" s="2" t="s">
        <v>124</v>
      </c>
      <c r="I101" s="2" t="s">
        <v>28</v>
      </c>
      <c r="J101" s="2" t="s">
        <v>2</v>
      </c>
      <c r="K101" s="2" t="s">
        <v>5276</v>
      </c>
      <c r="L101" s="2" t="s">
        <v>551</v>
      </c>
      <c r="M101" s="4">
        <v>0.2</v>
      </c>
      <c r="N101" s="4">
        <v>0</v>
      </c>
      <c r="O101" s="4">
        <f t="shared" si="1"/>
        <v>0</v>
      </c>
      <c r="P101" s="4">
        <v>0</v>
      </c>
      <c r="Q101" s="4">
        <v>0</v>
      </c>
      <c r="R101" s="4">
        <v>0</v>
      </c>
      <c r="S101" s="4">
        <v>0</v>
      </c>
      <c r="T101" s="2" t="s">
        <v>5277</v>
      </c>
      <c r="U101" s="2" t="s">
        <v>3519</v>
      </c>
      <c r="V101" s="2" t="s">
        <v>2</v>
      </c>
      <c r="W101" s="2" t="s">
        <v>2</v>
      </c>
    </row>
    <row r="102" spans="1:23" ht="24" customHeight="1" x14ac:dyDescent="0.3">
      <c r="A102" s="2" t="s">
        <v>665</v>
      </c>
      <c r="B102" s="11"/>
      <c r="C102" s="11"/>
      <c r="D102" s="2" t="s">
        <v>5278</v>
      </c>
      <c r="E102" s="2" t="s">
        <v>5279</v>
      </c>
      <c r="F102" s="2" t="s">
        <v>5280</v>
      </c>
      <c r="G102" s="2" t="s">
        <v>2</v>
      </c>
      <c r="H102" s="2" t="s">
        <v>124</v>
      </c>
      <c r="I102" s="2" t="s">
        <v>28</v>
      </c>
      <c r="J102" s="2" t="s">
        <v>2</v>
      </c>
      <c r="K102" s="2" t="s">
        <v>5281</v>
      </c>
      <c r="L102" s="2" t="s">
        <v>551</v>
      </c>
      <c r="M102" s="4">
        <v>40</v>
      </c>
      <c r="N102" s="4">
        <v>0</v>
      </c>
      <c r="O102" s="4">
        <f t="shared" si="1"/>
        <v>0</v>
      </c>
      <c r="P102" s="4">
        <v>0</v>
      </c>
      <c r="Q102" s="4">
        <v>0</v>
      </c>
      <c r="R102" s="4">
        <v>0</v>
      </c>
      <c r="S102" s="4">
        <v>0</v>
      </c>
      <c r="T102" s="2" t="s">
        <v>2</v>
      </c>
      <c r="U102" s="2" t="s">
        <v>5261</v>
      </c>
      <c r="V102" s="2" t="s">
        <v>2</v>
      </c>
      <c r="W102" s="2" t="s">
        <v>2</v>
      </c>
    </row>
    <row r="103" spans="1:23" ht="24" customHeight="1" x14ac:dyDescent="0.3">
      <c r="A103" s="2" t="s">
        <v>666</v>
      </c>
      <c r="B103" s="11"/>
      <c r="C103" s="11"/>
      <c r="D103" s="2" t="s">
        <v>2949</v>
      </c>
      <c r="E103" s="2" t="s">
        <v>2950</v>
      </c>
      <c r="F103" s="2" t="s">
        <v>5282</v>
      </c>
      <c r="G103" s="2" t="s">
        <v>2</v>
      </c>
      <c r="H103" s="2" t="s">
        <v>124</v>
      </c>
      <c r="I103" s="2" t="s">
        <v>28</v>
      </c>
      <c r="J103" s="2" t="s">
        <v>2</v>
      </c>
      <c r="K103" s="2" t="s">
        <v>5283</v>
      </c>
      <c r="L103" s="2" t="s">
        <v>5284</v>
      </c>
      <c r="M103" s="4">
        <v>6</v>
      </c>
      <c r="N103" s="4">
        <v>47</v>
      </c>
      <c r="O103" s="4">
        <f t="shared" si="1"/>
        <v>0</v>
      </c>
      <c r="P103" s="4">
        <v>0</v>
      </c>
      <c r="Q103" s="4">
        <v>0</v>
      </c>
      <c r="R103" s="4">
        <v>0</v>
      </c>
      <c r="S103" s="4">
        <v>0</v>
      </c>
      <c r="T103" s="2" t="s">
        <v>2952</v>
      </c>
      <c r="U103" s="2" t="s">
        <v>3505</v>
      </c>
      <c r="V103" s="2" t="s">
        <v>2</v>
      </c>
      <c r="W103" s="2" t="s">
        <v>2</v>
      </c>
    </row>
    <row r="104" spans="1:23" ht="24" customHeight="1" x14ac:dyDescent="0.3">
      <c r="A104" s="2" t="s">
        <v>667</v>
      </c>
      <c r="B104" s="11"/>
      <c r="C104" s="11"/>
      <c r="D104" s="2" t="s">
        <v>2954</v>
      </c>
      <c r="E104" s="2" t="s">
        <v>2955</v>
      </c>
      <c r="F104" s="2" t="s">
        <v>5285</v>
      </c>
      <c r="G104" s="2" t="s">
        <v>2</v>
      </c>
      <c r="H104" s="2" t="s">
        <v>124</v>
      </c>
      <c r="I104" s="2" t="s">
        <v>28</v>
      </c>
      <c r="J104" s="2" t="s">
        <v>2</v>
      </c>
      <c r="K104" s="2" t="s">
        <v>5286</v>
      </c>
      <c r="L104" s="2" t="s">
        <v>551</v>
      </c>
      <c r="M104" s="4">
        <v>96</v>
      </c>
      <c r="N104" s="4">
        <v>17112</v>
      </c>
      <c r="O104" s="4">
        <f t="shared" si="1"/>
        <v>10282.1</v>
      </c>
      <c r="P104" s="4">
        <v>10282.1</v>
      </c>
      <c r="Q104" s="4">
        <v>0</v>
      </c>
      <c r="R104" s="4">
        <v>0</v>
      </c>
      <c r="S104" s="4">
        <v>0</v>
      </c>
      <c r="T104" s="2" t="s">
        <v>2957</v>
      </c>
      <c r="U104" s="2" t="s">
        <v>3576</v>
      </c>
      <c r="V104" s="2" t="s">
        <v>2</v>
      </c>
      <c r="W104" s="2" t="s">
        <v>2</v>
      </c>
    </row>
    <row r="105" spans="1:23" ht="24" customHeight="1" x14ac:dyDescent="0.3">
      <c r="A105" s="2" t="s">
        <v>669</v>
      </c>
      <c r="B105" s="11"/>
      <c r="C105" s="11"/>
      <c r="D105" s="2" t="s">
        <v>5287</v>
      </c>
      <c r="E105" s="2" t="s">
        <v>632</v>
      </c>
      <c r="F105" s="2" t="s">
        <v>5288</v>
      </c>
      <c r="G105" s="2" t="s">
        <v>2</v>
      </c>
      <c r="H105" s="2" t="s">
        <v>124</v>
      </c>
      <c r="I105" s="2" t="s">
        <v>28</v>
      </c>
      <c r="J105" s="2" t="s">
        <v>2</v>
      </c>
      <c r="K105" s="2" t="s">
        <v>5289</v>
      </c>
      <c r="L105" s="2" t="s">
        <v>551</v>
      </c>
      <c r="M105" s="4">
        <v>200</v>
      </c>
      <c r="N105" s="4">
        <v>0</v>
      </c>
      <c r="O105" s="4">
        <f t="shared" si="1"/>
        <v>0</v>
      </c>
      <c r="P105" s="4">
        <v>0</v>
      </c>
      <c r="Q105" s="4">
        <v>0</v>
      </c>
      <c r="R105" s="4">
        <v>0</v>
      </c>
      <c r="S105" s="4">
        <v>0</v>
      </c>
      <c r="T105" s="2" t="s">
        <v>5290</v>
      </c>
      <c r="U105" s="2" t="s">
        <v>3454</v>
      </c>
      <c r="V105" s="2" t="s">
        <v>2</v>
      </c>
      <c r="W105" s="2" t="s">
        <v>2</v>
      </c>
    </row>
    <row r="106" spans="1:23" ht="24" customHeight="1" x14ac:dyDescent="0.3">
      <c r="A106" s="2" t="s">
        <v>670</v>
      </c>
      <c r="B106" s="11"/>
      <c r="C106" s="11"/>
      <c r="D106" s="2" t="s">
        <v>5291</v>
      </c>
      <c r="E106" s="2" t="s">
        <v>5292</v>
      </c>
      <c r="F106" s="2" t="s">
        <v>5293</v>
      </c>
      <c r="G106" s="2" t="s">
        <v>2</v>
      </c>
      <c r="H106" s="2" t="s">
        <v>124</v>
      </c>
      <c r="I106" s="2" t="s">
        <v>28</v>
      </c>
      <c r="J106" s="2" t="s">
        <v>2</v>
      </c>
      <c r="K106" s="2" t="s">
        <v>5294</v>
      </c>
      <c r="L106" s="2" t="s">
        <v>551</v>
      </c>
      <c r="M106" s="4">
        <v>180</v>
      </c>
      <c r="N106" s="4">
        <v>19297.3</v>
      </c>
      <c r="O106" s="4">
        <f t="shared" si="1"/>
        <v>49.8</v>
      </c>
      <c r="P106" s="4">
        <v>49.8</v>
      </c>
      <c r="Q106" s="4">
        <v>0</v>
      </c>
      <c r="R106" s="4">
        <v>0</v>
      </c>
      <c r="S106" s="4">
        <v>0</v>
      </c>
      <c r="T106" s="2" t="s">
        <v>5295</v>
      </c>
      <c r="U106" s="2" t="s">
        <v>592</v>
      </c>
      <c r="V106" s="2" t="s">
        <v>2</v>
      </c>
      <c r="W106" s="2" t="s">
        <v>2</v>
      </c>
    </row>
    <row r="107" spans="1:23" ht="24" customHeight="1" x14ac:dyDescent="0.3">
      <c r="A107" s="2" t="s">
        <v>672</v>
      </c>
      <c r="B107" s="11"/>
      <c r="C107" s="11"/>
      <c r="D107" s="2" t="s">
        <v>2409</v>
      </c>
      <c r="E107" s="2" t="s">
        <v>2410</v>
      </c>
      <c r="F107" s="2" t="s">
        <v>5296</v>
      </c>
      <c r="G107" s="2" t="s">
        <v>2</v>
      </c>
      <c r="H107" s="2" t="s">
        <v>124</v>
      </c>
      <c r="I107" s="2" t="s">
        <v>28</v>
      </c>
      <c r="J107" s="2" t="s">
        <v>2</v>
      </c>
      <c r="K107" s="2" t="s">
        <v>5297</v>
      </c>
      <c r="L107" s="2" t="s">
        <v>551</v>
      </c>
      <c r="M107" s="4">
        <v>20</v>
      </c>
      <c r="N107" s="4">
        <v>0</v>
      </c>
      <c r="O107" s="4">
        <f t="shared" si="1"/>
        <v>0</v>
      </c>
      <c r="P107" s="4">
        <v>0</v>
      </c>
      <c r="Q107" s="4">
        <v>0</v>
      </c>
      <c r="R107" s="4">
        <v>0</v>
      </c>
      <c r="S107" s="4">
        <v>0</v>
      </c>
      <c r="T107" s="2" t="s">
        <v>2412</v>
      </c>
      <c r="U107" s="2" t="s">
        <v>3585</v>
      </c>
      <c r="V107" s="2" t="s">
        <v>2</v>
      </c>
      <c r="W107" s="2" t="s">
        <v>2</v>
      </c>
    </row>
    <row r="108" spans="1:23" ht="24" customHeight="1" x14ac:dyDescent="0.3">
      <c r="A108" s="2" t="s">
        <v>673</v>
      </c>
      <c r="B108" s="11"/>
      <c r="C108" s="11"/>
      <c r="D108" s="2" t="s">
        <v>5298</v>
      </c>
      <c r="E108" s="2" t="s">
        <v>1239</v>
      </c>
      <c r="F108" s="2" t="s">
        <v>5299</v>
      </c>
      <c r="G108" s="2" t="s">
        <v>2</v>
      </c>
      <c r="H108" s="2" t="s">
        <v>124</v>
      </c>
      <c r="I108" s="2" t="s">
        <v>28</v>
      </c>
      <c r="J108" s="2" t="s">
        <v>2</v>
      </c>
      <c r="K108" s="2" t="s">
        <v>5300</v>
      </c>
      <c r="L108" s="2" t="s">
        <v>551</v>
      </c>
      <c r="M108" s="4">
        <v>36</v>
      </c>
      <c r="N108" s="4">
        <v>7853</v>
      </c>
      <c r="O108" s="4">
        <f t="shared" si="1"/>
        <v>0</v>
      </c>
      <c r="P108" s="4">
        <v>0</v>
      </c>
      <c r="Q108" s="4">
        <v>0</v>
      </c>
      <c r="R108" s="4">
        <v>0</v>
      </c>
      <c r="S108" s="4">
        <v>0</v>
      </c>
      <c r="T108" s="2" t="s">
        <v>5301</v>
      </c>
      <c r="U108" s="2" t="s">
        <v>5302</v>
      </c>
      <c r="V108" s="2" t="s">
        <v>2</v>
      </c>
      <c r="W108" s="2" t="s">
        <v>2</v>
      </c>
    </row>
    <row r="109" spans="1:23" ht="24" customHeight="1" x14ac:dyDescent="0.3">
      <c r="A109" s="2" t="s">
        <v>675</v>
      </c>
      <c r="B109" s="11"/>
      <c r="C109" s="11"/>
      <c r="D109" s="2" t="s">
        <v>3161</v>
      </c>
      <c r="E109" s="2" t="s">
        <v>3162</v>
      </c>
      <c r="F109" s="2" t="s">
        <v>3163</v>
      </c>
      <c r="G109" s="2" t="s">
        <v>2</v>
      </c>
      <c r="H109" s="2" t="s">
        <v>124</v>
      </c>
      <c r="I109" s="2" t="s">
        <v>28</v>
      </c>
      <c r="J109" s="2" t="s">
        <v>2</v>
      </c>
      <c r="K109" s="2" t="s">
        <v>5303</v>
      </c>
      <c r="L109" s="2" t="s">
        <v>551</v>
      </c>
      <c r="M109" s="4">
        <v>80</v>
      </c>
      <c r="N109" s="4">
        <v>26124.9</v>
      </c>
      <c r="O109" s="4">
        <f t="shared" si="1"/>
        <v>0</v>
      </c>
      <c r="P109" s="4">
        <v>0</v>
      </c>
      <c r="Q109" s="4">
        <v>0</v>
      </c>
      <c r="R109" s="4">
        <v>0</v>
      </c>
      <c r="S109" s="4">
        <v>0</v>
      </c>
      <c r="T109" s="2" t="s">
        <v>5304</v>
      </c>
      <c r="U109" s="2" t="s">
        <v>3546</v>
      </c>
      <c r="V109" s="2" t="s">
        <v>2</v>
      </c>
      <c r="W109" s="2" t="s">
        <v>2</v>
      </c>
    </row>
    <row r="110" spans="1:23" ht="24" customHeight="1" x14ac:dyDescent="0.3">
      <c r="A110" s="2" t="s">
        <v>676</v>
      </c>
      <c r="B110" s="11"/>
      <c r="C110" s="11"/>
      <c r="D110" s="2" t="s">
        <v>4495</v>
      </c>
      <c r="E110" s="2" t="s">
        <v>4496</v>
      </c>
      <c r="F110" s="2" t="s">
        <v>5305</v>
      </c>
      <c r="G110" s="2" t="s">
        <v>2</v>
      </c>
      <c r="H110" s="2" t="s">
        <v>124</v>
      </c>
      <c r="I110" s="2" t="s">
        <v>28</v>
      </c>
      <c r="J110" s="2" t="s">
        <v>2</v>
      </c>
      <c r="K110" s="2" t="s">
        <v>5297</v>
      </c>
      <c r="L110" s="2" t="s">
        <v>551</v>
      </c>
      <c r="M110" s="4">
        <v>20</v>
      </c>
      <c r="N110" s="4">
        <v>573.5</v>
      </c>
      <c r="O110" s="4">
        <f t="shared" si="1"/>
        <v>0</v>
      </c>
      <c r="P110" s="4">
        <v>0</v>
      </c>
      <c r="Q110" s="4">
        <v>0</v>
      </c>
      <c r="R110" s="4">
        <v>0</v>
      </c>
      <c r="S110" s="4">
        <v>0</v>
      </c>
      <c r="T110" s="2" t="s">
        <v>4498</v>
      </c>
      <c r="U110" s="2" t="s">
        <v>3592</v>
      </c>
      <c r="V110" s="2" t="s">
        <v>2</v>
      </c>
      <c r="W110" s="2" t="s">
        <v>2</v>
      </c>
    </row>
    <row r="111" spans="1:23" ht="24" customHeight="1" x14ac:dyDescent="0.3">
      <c r="A111" s="2" t="s">
        <v>677</v>
      </c>
      <c r="B111" s="11"/>
      <c r="C111" s="11"/>
      <c r="D111" s="2" t="s">
        <v>5306</v>
      </c>
      <c r="E111" s="2" t="s">
        <v>3653</v>
      </c>
      <c r="F111" s="2" t="s">
        <v>5307</v>
      </c>
      <c r="G111" s="2" t="s">
        <v>2</v>
      </c>
      <c r="H111" s="2" t="s">
        <v>124</v>
      </c>
      <c r="I111" s="2" t="s">
        <v>28</v>
      </c>
      <c r="J111" s="2" t="s">
        <v>2</v>
      </c>
      <c r="K111" s="2" t="s">
        <v>5308</v>
      </c>
      <c r="L111" s="2" t="s">
        <v>551</v>
      </c>
      <c r="M111" s="4">
        <v>200</v>
      </c>
      <c r="N111" s="4">
        <v>89388.5</v>
      </c>
      <c r="O111" s="4">
        <f t="shared" si="1"/>
        <v>4276.2</v>
      </c>
      <c r="P111" s="4">
        <v>258.5</v>
      </c>
      <c r="Q111" s="4">
        <v>113.2</v>
      </c>
      <c r="R111" s="4">
        <v>0</v>
      </c>
      <c r="S111" s="4">
        <v>3904.5</v>
      </c>
      <c r="T111" s="2" t="s">
        <v>5309</v>
      </c>
      <c r="U111" s="2" t="s">
        <v>526</v>
      </c>
      <c r="V111" s="2" t="s">
        <v>2</v>
      </c>
      <c r="W111" s="2" t="s">
        <v>2</v>
      </c>
    </row>
    <row r="112" spans="1:23" ht="24" customHeight="1" x14ac:dyDescent="0.3">
      <c r="A112" s="2" t="s">
        <v>678</v>
      </c>
      <c r="B112" s="11"/>
      <c r="C112" s="11"/>
      <c r="D112" s="2" t="s">
        <v>5310</v>
      </c>
      <c r="E112" s="2" t="s">
        <v>5311</v>
      </c>
      <c r="F112" s="2" t="s">
        <v>5312</v>
      </c>
      <c r="G112" s="2" t="s">
        <v>2</v>
      </c>
      <c r="H112" s="2" t="s">
        <v>124</v>
      </c>
      <c r="I112" s="2" t="s">
        <v>28</v>
      </c>
      <c r="J112" s="2" t="s">
        <v>2</v>
      </c>
      <c r="K112" s="2" t="s">
        <v>5313</v>
      </c>
      <c r="L112" s="2" t="s">
        <v>4251</v>
      </c>
      <c r="M112" s="4">
        <v>2.4</v>
      </c>
      <c r="N112" s="4">
        <v>19.8</v>
      </c>
      <c r="O112" s="4">
        <f t="shared" si="1"/>
        <v>0</v>
      </c>
      <c r="P112" s="4">
        <v>0</v>
      </c>
      <c r="Q112" s="4">
        <v>0</v>
      </c>
      <c r="R112" s="4">
        <v>0</v>
      </c>
      <c r="S112" s="4">
        <v>0</v>
      </c>
      <c r="T112" s="2" t="s">
        <v>4492</v>
      </c>
      <c r="U112" s="2" t="s">
        <v>286</v>
      </c>
      <c r="V112" s="2" t="s">
        <v>2</v>
      </c>
      <c r="W112" s="2" t="s">
        <v>5195</v>
      </c>
    </row>
    <row r="113" spans="1:23" ht="24" customHeight="1" x14ac:dyDescent="0.3">
      <c r="A113" s="2" t="s">
        <v>679</v>
      </c>
      <c r="B113" s="11"/>
      <c r="C113" s="11"/>
      <c r="D113" s="2" t="s">
        <v>4527</v>
      </c>
      <c r="E113" s="2" t="s">
        <v>3429</v>
      </c>
      <c r="F113" s="2" t="s">
        <v>5314</v>
      </c>
      <c r="G113" s="2" t="s">
        <v>2</v>
      </c>
      <c r="H113" s="2" t="s">
        <v>124</v>
      </c>
      <c r="I113" s="2" t="s">
        <v>28</v>
      </c>
      <c r="J113" s="2" t="s">
        <v>2</v>
      </c>
      <c r="K113" s="2" t="s">
        <v>5315</v>
      </c>
      <c r="L113" s="2" t="s">
        <v>5106</v>
      </c>
      <c r="M113" s="4">
        <v>100</v>
      </c>
      <c r="N113" s="4">
        <v>215.9</v>
      </c>
      <c r="O113" s="4">
        <f t="shared" si="1"/>
        <v>0</v>
      </c>
      <c r="P113" s="4">
        <v>0</v>
      </c>
      <c r="Q113" s="4">
        <v>0</v>
      </c>
      <c r="R113" s="4">
        <v>0</v>
      </c>
      <c r="S113" s="4">
        <v>0</v>
      </c>
      <c r="T113" s="2" t="s">
        <v>5316</v>
      </c>
      <c r="U113" s="2" t="s">
        <v>3510</v>
      </c>
      <c r="V113" s="2" t="s">
        <v>2</v>
      </c>
      <c r="W113" s="2" t="s">
        <v>2</v>
      </c>
    </row>
    <row r="114" spans="1:23" ht="24" customHeight="1" x14ac:dyDescent="0.3">
      <c r="A114" s="2" t="s">
        <v>680</v>
      </c>
      <c r="B114" s="11"/>
      <c r="C114" s="11"/>
      <c r="D114" s="2" t="s">
        <v>5317</v>
      </c>
      <c r="E114" s="2" t="s">
        <v>5318</v>
      </c>
      <c r="F114" s="2" t="s">
        <v>5319</v>
      </c>
      <c r="G114" s="2" t="s">
        <v>2</v>
      </c>
      <c r="H114" s="2" t="s">
        <v>124</v>
      </c>
      <c r="I114" s="2" t="s">
        <v>28</v>
      </c>
      <c r="J114" s="2" t="s">
        <v>2</v>
      </c>
      <c r="K114" s="2" t="s">
        <v>5320</v>
      </c>
      <c r="L114" s="2" t="s">
        <v>584</v>
      </c>
      <c r="M114" s="4">
        <v>1.5</v>
      </c>
      <c r="N114" s="4">
        <v>95.5</v>
      </c>
      <c r="O114" s="4">
        <f t="shared" si="1"/>
        <v>0</v>
      </c>
      <c r="P114" s="4">
        <v>0</v>
      </c>
      <c r="Q114" s="4">
        <v>0</v>
      </c>
      <c r="R114" s="4">
        <v>0</v>
      </c>
      <c r="S114" s="4">
        <v>0</v>
      </c>
      <c r="T114" s="2" t="s">
        <v>5321</v>
      </c>
      <c r="U114" s="2" t="s">
        <v>3404</v>
      </c>
      <c r="V114" s="2" t="s">
        <v>2</v>
      </c>
      <c r="W114" s="2" t="s">
        <v>5195</v>
      </c>
    </row>
    <row r="115" spans="1:23" ht="24" customHeight="1" x14ac:dyDescent="0.3">
      <c r="A115" s="2" t="s">
        <v>682</v>
      </c>
      <c r="B115" s="11"/>
      <c r="C115" s="11"/>
      <c r="D115" s="2" t="s">
        <v>3132</v>
      </c>
      <c r="E115" s="2" t="s">
        <v>3133</v>
      </c>
      <c r="F115" s="2" t="s">
        <v>5322</v>
      </c>
      <c r="G115" s="2" t="s">
        <v>2</v>
      </c>
      <c r="H115" s="2" t="s">
        <v>124</v>
      </c>
      <c r="I115" s="2" t="s">
        <v>28</v>
      </c>
      <c r="J115" s="2" t="s">
        <v>2</v>
      </c>
      <c r="K115" s="2" t="s">
        <v>5323</v>
      </c>
      <c r="L115" s="2" t="s">
        <v>551</v>
      </c>
      <c r="M115" s="4">
        <v>160</v>
      </c>
      <c r="N115" s="4">
        <v>33834.1</v>
      </c>
      <c r="O115" s="4">
        <f t="shared" si="1"/>
        <v>2768.3</v>
      </c>
      <c r="P115" s="4">
        <v>687.5</v>
      </c>
      <c r="Q115" s="4">
        <v>334.6</v>
      </c>
      <c r="R115" s="4">
        <v>0</v>
      </c>
      <c r="S115" s="4">
        <v>1746.2</v>
      </c>
      <c r="T115" s="2" t="s">
        <v>3135</v>
      </c>
      <c r="U115" s="2" t="s">
        <v>3581</v>
      </c>
      <c r="V115" s="2" t="s">
        <v>2</v>
      </c>
      <c r="W115" s="2" t="s">
        <v>2</v>
      </c>
    </row>
    <row r="116" spans="1:23" ht="24" customHeight="1" x14ac:dyDescent="0.3">
      <c r="A116" s="2" t="s">
        <v>683</v>
      </c>
      <c r="B116" s="11"/>
      <c r="C116" s="11"/>
      <c r="D116" s="2" t="s">
        <v>5324</v>
      </c>
      <c r="E116" s="2" t="s">
        <v>5325</v>
      </c>
      <c r="F116" s="2" t="s">
        <v>5326</v>
      </c>
      <c r="G116" s="2" t="s">
        <v>2</v>
      </c>
      <c r="H116" s="2" t="s">
        <v>124</v>
      </c>
      <c r="I116" s="2" t="s">
        <v>28</v>
      </c>
      <c r="J116" s="2" t="s">
        <v>2</v>
      </c>
      <c r="K116" s="2" t="s">
        <v>5327</v>
      </c>
      <c r="L116" s="2" t="s">
        <v>551</v>
      </c>
      <c r="M116" s="4">
        <v>45</v>
      </c>
      <c r="N116" s="4">
        <v>351.3</v>
      </c>
      <c r="O116" s="4">
        <f t="shared" si="1"/>
        <v>0</v>
      </c>
      <c r="P116" s="4">
        <v>0</v>
      </c>
      <c r="Q116" s="4">
        <v>0</v>
      </c>
      <c r="R116" s="4">
        <v>0</v>
      </c>
      <c r="S116" s="4">
        <v>0</v>
      </c>
      <c r="T116" s="2" t="s">
        <v>5328</v>
      </c>
      <c r="U116" s="2" t="s">
        <v>3535</v>
      </c>
      <c r="V116" s="2" t="s">
        <v>2</v>
      </c>
      <c r="W116" s="2" t="s">
        <v>2</v>
      </c>
    </row>
    <row r="117" spans="1:23" ht="24" customHeight="1" x14ac:dyDescent="0.3">
      <c r="A117" s="2" t="s">
        <v>685</v>
      </c>
      <c r="B117" s="11"/>
      <c r="C117" s="11"/>
      <c r="D117" s="2" t="s">
        <v>5329</v>
      </c>
      <c r="E117" s="2" t="s">
        <v>5330</v>
      </c>
      <c r="F117" s="2" t="s">
        <v>5331</v>
      </c>
      <c r="G117" s="2" t="s">
        <v>2</v>
      </c>
      <c r="H117" s="2" t="s">
        <v>124</v>
      </c>
      <c r="I117" s="2" t="s">
        <v>28</v>
      </c>
      <c r="J117" s="2" t="s">
        <v>2</v>
      </c>
      <c r="K117" s="2" t="s">
        <v>5332</v>
      </c>
      <c r="L117" s="2" t="s">
        <v>551</v>
      </c>
      <c r="M117" s="4">
        <v>25</v>
      </c>
      <c r="N117" s="4">
        <v>846.7</v>
      </c>
      <c r="O117" s="4">
        <f t="shared" si="1"/>
        <v>0</v>
      </c>
      <c r="P117" s="4">
        <v>0</v>
      </c>
      <c r="Q117" s="4">
        <v>0</v>
      </c>
      <c r="R117" s="4">
        <v>0</v>
      </c>
      <c r="S117" s="4">
        <v>0</v>
      </c>
      <c r="T117" s="2" t="s">
        <v>5333</v>
      </c>
      <c r="U117" s="2" t="s">
        <v>961</v>
      </c>
      <c r="V117" s="2" t="s">
        <v>2</v>
      </c>
      <c r="W117" s="2" t="s">
        <v>2</v>
      </c>
    </row>
    <row r="118" spans="1:23" ht="24" customHeight="1" x14ac:dyDescent="0.3">
      <c r="A118" s="2" t="s">
        <v>686</v>
      </c>
      <c r="B118" s="11"/>
      <c r="C118" s="11"/>
      <c r="D118" s="2" t="s">
        <v>5334</v>
      </c>
      <c r="E118" s="2" t="s">
        <v>5335</v>
      </c>
      <c r="F118" s="2" t="s">
        <v>5336</v>
      </c>
      <c r="G118" s="2" t="s">
        <v>2</v>
      </c>
      <c r="H118" s="2" t="s">
        <v>124</v>
      </c>
      <c r="I118" s="2" t="s">
        <v>28</v>
      </c>
      <c r="J118" s="2" t="s">
        <v>2</v>
      </c>
      <c r="K118" s="2" t="s">
        <v>5337</v>
      </c>
      <c r="L118" s="2" t="s">
        <v>551</v>
      </c>
      <c r="M118" s="4">
        <v>4</v>
      </c>
      <c r="N118" s="4">
        <v>1438.4</v>
      </c>
      <c r="O118" s="4">
        <f t="shared" si="1"/>
        <v>47.2</v>
      </c>
      <c r="P118" s="4">
        <v>47.2</v>
      </c>
      <c r="Q118" s="4">
        <v>0</v>
      </c>
      <c r="R118" s="4">
        <v>0</v>
      </c>
      <c r="S118" s="4">
        <v>0</v>
      </c>
      <c r="T118" s="2" t="s">
        <v>5338</v>
      </c>
      <c r="U118" s="2" t="s">
        <v>3620</v>
      </c>
      <c r="V118" s="2" t="s">
        <v>2</v>
      </c>
      <c r="W118" s="2" t="s">
        <v>2</v>
      </c>
    </row>
    <row r="119" spans="1:23" ht="24" customHeight="1" x14ac:dyDescent="0.3">
      <c r="A119" s="2" t="s">
        <v>687</v>
      </c>
      <c r="B119" s="11"/>
      <c r="C119" s="11"/>
      <c r="D119" s="2" t="s">
        <v>3183</v>
      </c>
      <c r="E119" s="2" t="s">
        <v>4535</v>
      </c>
      <c r="F119" s="2" t="s">
        <v>5339</v>
      </c>
      <c r="G119" s="2" t="s">
        <v>2</v>
      </c>
      <c r="H119" s="2" t="s">
        <v>124</v>
      </c>
      <c r="I119" s="2" t="s">
        <v>28</v>
      </c>
      <c r="J119" s="2" t="s">
        <v>2</v>
      </c>
      <c r="K119" s="2" t="s">
        <v>5340</v>
      </c>
      <c r="L119" s="2" t="s">
        <v>584</v>
      </c>
      <c r="M119" s="4">
        <v>10</v>
      </c>
      <c r="N119" s="4">
        <v>0</v>
      </c>
      <c r="O119" s="4">
        <f t="shared" ref="O119:O122" si="2">SUM(P119:S119)</f>
        <v>0</v>
      </c>
      <c r="P119" s="4">
        <v>0</v>
      </c>
      <c r="Q119" s="4">
        <v>0</v>
      </c>
      <c r="R119" s="4">
        <v>0</v>
      </c>
      <c r="S119" s="4">
        <v>0</v>
      </c>
      <c r="T119" s="2" t="s">
        <v>3186</v>
      </c>
      <c r="U119" s="2" t="s">
        <v>3282</v>
      </c>
      <c r="V119" s="2" t="s">
        <v>2</v>
      </c>
      <c r="W119" s="2" t="s">
        <v>2</v>
      </c>
    </row>
    <row r="120" spans="1:23" ht="24" customHeight="1" x14ac:dyDescent="0.3">
      <c r="A120" s="2" t="s">
        <v>688</v>
      </c>
      <c r="B120" s="11"/>
      <c r="C120" s="11"/>
      <c r="D120" s="2" t="s">
        <v>5341</v>
      </c>
      <c r="E120" s="2" t="s">
        <v>3558</v>
      </c>
      <c r="F120" s="2" t="s">
        <v>5342</v>
      </c>
      <c r="G120" s="2" t="s">
        <v>2</v>
      </c>
      <c r="H120" s="2" t="s">
        <v>124</v>
      </c>
      <c r="I120" s="2" t="s">
        <v>28</v>
      </c>
      <c r="J120" s="2" t="s">
        <v>2</v>
      </c>
      <c r="K120" s="2" t="s">
        <v>5343</v>
      </c>
      <c r="L120" s="2" t="s">
        <v>514</v>
      </c>
      <c r="M120" s="4">
        <v>1</v>
      </c>
      <c r="N120" s="4">
        <v>0.8</v>
      </c>
      <c r="O120" s="4">
        <f t="shared" si="2"/>
        <v>0</v>
      </c>
      <c r="P120" s="4">
        <v>0</v>
      </c>
      <c r="Q120" s="4">
        <v>0</v>
      </c>
      <c r="R120" s="4">
        <v>0</v>
      </c>
      <c r="S120" s="4">
        <v>0</v>
      </c>
      <c r="T120" s="2" t="s">
        <v>5344</v>
      </c>
      <c r="U120" s="2" t="s">
        <v>5345</v>
      </c>
      <c r="V120" s="2" t="s">
        <v>2</v>
      </c>
      <c r="W120" s="2" t="s">
        <v>2</v>
      </c>
    </row>
    <row r="121" spans="1:23" ht="24" customHeight="1" x14ac:dyDescent="0.3">
      <c r="A121" s="2" t="s">
        <v>690</v>
      </c>
      <c r="B121" s="11"/>
      <c r="C121" s="11"/>
      <c r="D121" s="2" t="s">
        <v>3238</v>
      </c>
      <c r="E121" s="2" t="s">
        <v>3239</v>
      </c>
      <c r="F121" s="2" t="s">
        <v>5346</v>
      </c>
      <c r="G121" s="2" t="s">
        <v>2</v>
      </c>
      <c r="H121" s="2" t="s">
        <v>124</v>
      </c>
      <c r="I121" s="2" t="s">
        <v>28</v>
      </c>
      <c r="J121" s="2" t="s">
        <v>2</v>
      </c>
      <c r="K121" s="2" t="s">
        <v>5347</v>
      </c>
      <c r="L121" s="2" t="s">
        <v>551</v>
      </c>
      <c r="M121" s="4">
        <v>1.8</v>
      </c>
      <c r="N121" s="4">
        <v>0</v>
      </c>
      <c r="O121" s="4">
        <f t="shared" si="2"/>
        <v>0</v>
      </c>
      <c r="P121" s="4">
        <v>0</v>
      </c>
      <c r="Q121" s="4">
        <v>0</v>
      </c>
      <c r="R121" s="4">
        <v>0</v>
      </c>
      <c r="S121" s="4">
        <v>0</v>
      </c>
      <c r="T121" s="2" t="s">
        <v>3241</v>
      </c>
      <c r="U121" s="2" t="s">
        <v>2679</v>
      </c>
      <c r="V121" s="2" t="s">
        <v>2</v>
      </c>
      <c r="W121" s="2" t="s">
        <v>2</v>
      </c>
    </row>
    <row r="122" spans="1:23" ht="24" customHeight="1" x14ac:dyDescent="0.3">
      <c r="A122" s="2" t="s">
        <v>691</v>
      </c>
      <c r="B122" s="11"/>
      <c r="C122" s="11"/>
      <c r="D122" s="2" t="s">
        <v>5348</v>
      </c>
      <c r="E122" s="2" t="s">
        <v>5349</v>
      </c>
      <c r="F122" s="2" t="s">
        <v>5350</v>
      </c>
      <c r="G122" s="2" t="s">
        <v>2</v>
      </c>
      <c r="H122" s="2" t="s">
        <v>124</v>
      </c>
      <c r="I122" s="2" t="s">
        <v>28</v>
      </c>
      <c r="J122" s="2" t="s">
        <v>2</v>
      </c>
      <c r="K122" s="2" t="s">
        <v>5351</v>
      </c>
      <c r="L122" s="2" t="s">
        <v>551</v>
      </c>
      <c r="M122" s="4">
        <v>16.399999999999999</v>
      </c>
      <c r="N122" s="4">
        <v>2648.7</v>
      </c>
      <c r="O122" s="4">
        <f t="shared" si="2"/>
        <v>66.7</v>
      </c>
      <c r="P122" s="4">
        <v>66.7</v>
      </c>
      <c r="Q122" s="4">
        <v>0</v>
      </c>
      <c r="R122" s="4">
        <v>0</v>
      </c>
      <c r="S122" s="4">
        <v>0</v>
      </c>
      <c r="T122" s="2" t="s">
        <v>5352</v>
      </c>
      <c r="U122" s="2" t="s">
        <v>5353</v>
      </c>
      <c r="V122" s="2" t="s">
        <v>2</v>
      </c>
      <c r="W122" s="2" t="s">
        <v>2</v>
      </c>
    </row>
  </sheetData>
  <autoFilter ref="A5:W122" xr:uid="{00000000-0009-0000-0000-000010000000}"/>
  <mergeCells count="23">
    <mergeCell ref="B6:B122"/>
    <mergeCell ref="C6"/>
    <mergeCell ref="C7:C9"/>
    <mergeCell ref="C10:C43"/>
    <mergeCell ref="C44"/>
    <mergeCell ref="C45:C46"/>
    <mergeCell ref="C47:C122"/>
    <mergeCell ref="A1:W1"/>
    <mergeCell ref="A2:W2"/>
    <mergeCell ref="A4:A5"/>
    <mergeCell ref="B4:B5"/>
    <mergeCell ref="C4:C5"/>
    <mergeCell ref="D4:D5"/>
    <mergeCell ref="E4:E5"/>
    <mergeCell ref="F4:F5"/>
    <mergeCell ref="G4:J4"/>
    <mergeCell ref="K4:K5"/>
    <mergeCell ref="L4:L5"/>
    <mergeCell ref="O4:S4"/>
    <mergeCell ref="T4:T5"/>
    <mergeCell ref="U4:U5"/>
    <mergeCell ref="V4:V5"/>
    <mergeCell ref="W4:W5"/>
  </mergeCells>
  <phoneticPr fontId="8"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
  <sheetViews>
    <sheetView workbookViewId="0">
      <pane xSplit="5" ySplit="5" topLeftCell="F6" activePane="bottomRight" state="frozen"/>
      <selection pane="topRight"/>
      <selection pane="bottomLeft"/>
      <selection pane="bottomRight" activeCell="D9" sqref="D9"/>
    </sheetView>
  </sheetViews>
  <sheetFormatPr defaultRowHeight="16.5" x14ac:dyDescent="0.3"/>
  <cols>
    <col min="1" max="1" width="6" customWidth="1"/>
    <col min="2" max="3" width="12.625" customWidth="1"/>
    <col min="4" max="4" width="16.375" customWidth="1"/>
    <col min="5" max="5" width="14.875" customWidth="1"/>
    <col min="6" max="6" width="22.25" customWidth="1"/>
    <col min="7" max="7" width="11.875" customWidth="1"/>
    <col min="8" max="8" width="20.75" customWidth="1"/>
    <col min="9" max="9" width="17.875" customWidth="1"/>
    <col min="10" max="10" width="13.25" customWidth="1"/>
    <col min="11" max="11" width="22.25" customWidth="1"/>
    <col min="12" max="12" width="16.375" customWidth="1"/>
    <col min="13" max="14" width="11.875" customWidth="1"/>
    <col min="15" max="19" width="10.375" customWidth="1"/>
    <col min="20" max="20" width="17.875" customWidth="1"/>
    <col min="21" max="22" width="14.875" customWidth="1"/>
    <col min="23" max="23" width="14" customWidth="1"/>
  </cols>
  <sheetData>
    <row r="1" spans="1:23" ht="18.75" x14ac:dyDescent="0.3">
      <c r="A1" s="8" t="s">
        <v>4938</v>
      </c>
      <c r="B1" s="8"/>
      <c r="C1" s="8"/>
      <c r="D1" s="8"/>
      <c r="E1" s="8"/>
      <c r="F1" s="8"/>
      <c r="G1" s="8"/>
      <c r="H1" s="8"/>
      <c r="I1" s="8"/>
      <c r="J1" s="8"/>
      <c r="K1" s="8"/>
      <c r="L1" s="8"/>
      <c r="M1" s="8"/>
      <c r="N1" s="8"/>
      <c r="O1" s="8"/>
      <c r="P1" s="8"/>
      <c r="Q1" s="8"/>
      <c r="R1" s="8"/>
      <c r="S1" s="8"/>
      <c r="T1" s="8"/>
      <c r="U1" s="8"/>
      <c r="V1" s="8"/>
      <c r="W1" s="8"/>
    </row>
    <row r="2" spans="1:23" x14ac:dyDescent="0.3">
      <c r="A2" s="9" t="s">
        <v>5359</v>
      </c>
      <c r="B2" s="9"/>
      <c r="C2" s="9"/>
      <c r="D2" s="9"/>
      <c r="E2" s="9"/>
      <c r="F2" s="9"/>
      <c r="G2" s="9"/>
      <c r="H2" s="9"/>
      <c r="I2" s="9"/>
      <c r="J2" s="9"/>
      <c r="K2" s="9"/>
      <c r="L2" s="9"/>
      <c r="M2" s="9"/>
      <c r="N2" s="9"/>
      <c r="O2" s="9"/>
      <c r="P2" s="9"/>
      <c r="Q2" s="9"/>
      <c r="R2" s="9"/>
      <c r="S2" s="9"/>
      <c r="T2" s="9"/>
      <c r="U2" s="9"/>
      <c r="V2" s="9"/>
      <c r="W2" s="9"/>
    </row>
    <row r="3" spans="1:23" x14ac:dyDescent="0.3">
      <c r="A3" s="5"/>
      <c r="B3" s="5"/>
      <c r="C3" s="5"/>
      <c r="D3" s="5"/>
      <c r="E3" s="5"/>
      <c r="F3" s="5"/>
      <c r="G3" s="5"/>
      <c r="H3" s="5"/>
      <c r="I3" s="5"/>
      <c r="J3" s="5"/>
      <c r="K3" s="5"/>
      <c r="L3" s="5"/>
      <c r="M3" s="5"/>
      <c r="N3" s="5"/>
      <c r="O3" s="5"/>
      <c r="P3" s="5"/>
      <c r="Q3" s="5"/>
      <c r="R3" s="5"/>
      <c r="S3" s="5"/>
      <c r="T3" s="5"/>
      <c r="U3" s="5"/>
      <c r="V3" s="5"/>
      <c r="W3" s="5" t="s">
        <v>2</v>
      </c>
    </row>
    <row r="4" spans="1:23" ht="24" customHeight="1" x14ac:dyDescent="0.3">
      <c r="A4" s="10" t="s">
        <v>3</v>
      </c>
      <c r="B4" s="10" t="s">
        <v>4</v>
      </c>
      <c r="C4" s="10" t="s">
        <v>5</v>
      </c>
      <c r="D4" s="10" t="s">
        <v>382</v>
      </c>
      <c r="E4" s="10" t="s">
        <v>383</v>
      </c>
      <c r="F4" s="10" t="s">
        <v>7</v>
      </c>
      <c r="G4" s="10" t="s">
        <v>627</v>
      </c>
      <c r="H4" s="10"/>
      <c r="I4" s="10"/>
      <c r="J4" s="10"/>
      <c r="K4" s="10" t="s">
        <v>498</v>
      </c>
      <c r="L4" s="10" t="s">
        <v>499</v>
      </c>
      <c r="M4" s="1" t="s">
        <v>500</v>
      </c>
      <c r="N4" s="1" t="s">
        <v>13</v>
      </c>
      <c r="O4" s="10" t="s">
        <v>14</v>
      </c>
      <c r="P4" s="10"/>
      <c r="Q4" s="10"/>
      <c r="R4" s="10"/>
      <c r="S4" s="10"/>
      <c r="T4" s="10" t="s">
        <v>384</v>
      </c>
      <c r="U4" s="10" t="s">
        <v>18</v>
      </c>
      <c r="V4" s="10" t="s">
        <v>19</v>
      </c>
      <c r="W4" s="10" t="s">
        <v>22</v>
      </c>
    </row>
    <row r="5" spans="1:23" ht="30" customHeight="1" x14ac:dyDescent="0.3">
      <c r="A5" s="10"/>
      <c r="B5" s="10"/>
      <c r="C5" s="10"/>
      <c r="D5" s="10"/>
      <c r="E5" s="10"/>
      <c r="F5" s="10"/>
      <c r="G5" s="1" t="s">
        <v>26</v>
      </c>
      <c r="H5" s="1" t="s">
        <v>27</v>
      </c>
      <c r="I5" s="1" t="s">
        <v>28</v>
      </c>
      <c r="J5" s="1" t="s">
        <v>29</v>
      </c>
      <c r="K5" s="10"/>
      <c r="L5" s="10"/>
      <c r="M5" s="1" t="s">
        <v>30</v>
      </c>
      <c r="N5" s="1" t="s">
        <v>32</v>
      </c>
      <c r="O5" s="1" t="s">
        <v>33</v>
      </c>
      <c r="P5" s="1" t="s">
        <v>34</v>
      </c>
      <c r="Q5" s="1" t="s">
        <v>35</v>
      </c>
      <c r="R5" s="1" t="s">
        <v>36</v>
      </c>
      <c r="S5" s="1" t="s">
        <v>37</v>
      </c>
      <c r="T5" s="10"/>
      <c r="U5" s="10"/>
      <c r="V5" s="10"/>
      <c r="W5" s="10"/>
    </row>
  </sheetData>
  <autoFilter ref="A5:W5" xr:uid="{00000000-0009-0000-0000-000011000000}"/>
  <mergeCells count="16">
    <mergeCell ref="A1:W1"/>
    <mergeCell ref="A2:W2"/>
    <mergeCell ref="A4:A5"/>
    <mergeCell ref="B4:B5"/>
    <mergeCell ref="C4:C5"/>
    <mergeCell ref="D4:D5"/>
    <mergeCell ref="E4:E5"/>
    <mergeCell ref="F4:F5"/>
    <mergeCell ref="G4:J4"/>
    <mergeCell ref="K4:K5"/>
    <mergeCell ref="L4:L5"/>
    <mergeCell ref="O4:S4"/>
    <mergeCell ref="T4:T5"/>
    <mergeCell ref="U4:U5"/>
    <mergeCell ref="V4:V5"/>
    <mergeCell ref="W4:W5"/>
  </mergeCells>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169"/>
  <sheetViews>
    <sheetView workbookViewId="0">
      <pane xSplit="5" ySplit="5" topLeftCell="F6" activePane="bottomRight" state="frozen"/>
      <selection pane="topRight"/>
      <selection pane="bottomLeft"/>
      <selection pane="bottomRight" activeCell="A6" sqref="A6"/>
    </sheetView>
  </sheetViews>
  <sheetFormatPr defaultRowHeight="16.5" x14ac:dyDescent="0.3"/>
  <cols>
    <col min="1" max="1" width="6" customWidth="1"/>
    <col min="2" max="3" width="12.625" customWidth="1"/>
    <col min="4" max="4" width="16.375" customWidth="1"/>
    <col min="5" max="5" width="14.875" customWidth="1"/>
    <col min="6" max="6" width="22.25" customWidth="1"/>
    <col min="7" max="7" width="11.875" customWidth="1"/>
    <col min="8" max="8" width="20.75" customWidth="1"/>
    <col min="9" max="9" width="17.875" customWidth="1"/>
    <col min="10" max="10" width="14.25" customWidth="1"/>
    <col min="11" max="11" width="22.25" customWidth="1"/>
    <col min="12" max="12" width="16.375" customWidth="1"/>
    <col min="13" max="14" width="11.875" customWidth="1"/>
    <col min="15" max="19" width="10.375" customWidth="1"/>
    <col min="20" max="20" width="17.875" customWidth="1"/>
    <col min="21" max="22" width="14.875" customWidth="1"/>
    <col min="23" max="23" width="14" customWidth="1"/>
  </cols>
  <sheetData>
    <row r="1" spans="1:23" ht="18.75" x14ac:dyDescent="0.3">
      <c r="A1" s="8" t="s">
        <v>4938</v>
      </c>
      <c r="B1" s="8"/>
      <c r="C1" s="8"/>
      <c r="D1" s="8"/>
      <c r="E1" s="8"/>
      <c r="F1" s="8"/>
      <c r="G1" s="8"/>
      <c r="H1" s="8"/>
      <c r="I1" s="8"/>
      <c r="J1" s="8"/>
      <c r="K1" s="8"/>
      <c r="L1" s="8"/>
      <c r="M1" s="8"/>
      <c r="N1" s="8"/>
      <c r="O1" s="8"/>
      <c r="P1" s="8"/>
      <c r="Q1" s="8"/>
      <c r="R1" s="8"/>
      <c r="S1" s="8"/>
      <c r="T1" s="8"/>
      <c r="U1" s="8"/>
      <c r="V1" s="8"/>
      <c r="W1" s="8"/>
    </row>
    <row r="2" spans="1:23" x14ac:dyDescent="0.3">
      <c r="A2" s="9" t="s">
        <v>5362</v>
      </c>
      <c r="B2" s="9"/>
      <c r="C2" s="9"/>
      <c r="D2" s="9"/>
      <c r="E2" s="9"/>
      <c r="F2" s="9"/>
      <c r="G2" s="9"/>
      <c r="H2" s="9"/>
      <c r="I2" s="9"/>
      <c r="J2" s="9"/>
      <c r="K2" s="9"/>
      <c r="L2" s="9"/>
      <c r="M2" s="9"/>
      <c r="N2" s="9"/>
      <c r="O2" s="9"/>
      <c r="P2" s="9"/>
      <c r="Q2" s="9"/>
      <c r="R2" s="9"/>
      <c r="S2" s="9"/>
      <c r="T2" s="9"/>
      <c r="U2" s="9"/>
      <c r="V2" s="9"/>
      <c r="W2" s="9"/>
    </row>
    <row r="3" spans="1:23" x14ac:dyDescent="0.3">
      <c r="A3" s="5"/>
      <c r="B3" s="5"/>
      <c r="C3" s="5"/>
      <c r="D3" s="5"/>
      <c r="E3" s="5"/>
      <c r="F3" s="5"/>
      <c r="G3" s="5"/>
      <c r="H3" s="5"/>
      <c r="I3" s="5"/>
      <c r="J3" s="5"/>
      <c r="K3" s="5"/>
      <c r="L3" s="5"/>
      <c r="M3" s="5"/>
      <c r="N3" s="5"/>
      <c r="O3" s="5"/>
      <c r="P3" s="5"/>
      <c r="Q3" s="5"/>
      <c r="R3" s="5"/>
      <c r="S3" s="5"/>
      <c r="T3" s="5"/>
      <c r="U3" s="5"/>
      <c r="V3" s="5"/>
      <c r="W3" s="5" t="s">
        <v>2</v>
      </c>
    </row>
    <row r="4" spans="1:23" ht="24" customHeight="1" x14ac:dyDescent="0.3">
      <c r="A4" s="10" t="s">
        <v>3</v>
      </c>
      <c r="B4" s="10" t="s">
        <v>4</v>
      </c>
      <c r="C4" s="10" t="s">
        <v>5</v>
      </c>
      <c r="D4" s="10" t="s">
        <v>382</v>
      </c>
      <c r="E4" s="10" t="s">
        <v>383</v>
      </c>
      <c r="F4" s="10" t="s">
        <v>7</v>
      </c>
      <c r="G4" s="10" t="s">
        <v>627</v>
      </c>
      <c r="H4" s="10"/>
      <c r="I4" s="10"/>
      <c r="J4" s="10"/>
      <c r="K4" s="10" t="s">
        <v>498</v>
      </c>
      <c r="L4" s="10" t="s">
        <v>499</v>
      </c>
      <c r="M4" s="1" t="s">
        <v>500</v>
      </c>
      <c r="N4" s="1" t="s">
        <v>13</v>
      </c>
      <c r="O4" s="10" t="s">
        <v>14</v>
      </c>
      <c r="P4" s="10"/>
      <c r="Q4" s="10"/>
      <c r="R4" s="10"/>
      <c r="S4" s="10"/>
      <c r="T4" s="10" t="s">
        <v>384</v>
      </c>
      <c r="U4" s="10" t="s">
        <v>18</v>
      </c>
      <c r="V4" s="10" t="s">
        <v>19</v>
      </c>
      <c r="W4" s="10" t="s">
        <v>22</v>
      </c>
    </row>
    <row r="5" spans="1:23" ht="30" customHeight="1" x14ac:dyDescent="0.3">
      <c r="A5" s="10"/>
      <c r="B5" s="10"/>
      <c r="C5" s="10"/>
      <c r="D5" s="10"/>
      <c r="E5" s="10"/>
      <c r="F5" s="10"/>
      <c r="G5" s="1" t="s">
        <v>26</v>
      </c>
      <c r="H5" s="1" t="s">
        <v>27</v>
      </c>
      <c r="I5" s="1" t="s">
        <v>28</v>
      </c>
      <c r="J5" s="1" t="s">
        <v>29</v>
      </c>
      <c r="K5" s="10"/>
      <c r="L5" s="10"/>
      <c r="M5" s="1" t="s">
        <v>30</v>
      </c>
      <c r="N5" s="1" t="s">
        <v>32</v>
      </c>
      <c r="O5" s="1" t="s">
        <v>33</v>
      </c>
      <c r="P5" s="1" t="s">
        <v>34</v>
      </c>
      <c r="Q5" s="1" t="s">
        <v>35</v>
      </c>
      <c r="R5" s="1" t="s">
        <v>36</v>
      </c>
      <c r="S5" s="1" t="s">
        <v>37</v>
      </c>
      <c r="T5" s="10"/>
      <c r="U5" s="10"/>
      <c r="V5" s="10"/>
      <c r="W5" s="10"/>
    </row>
    <row r="6" spans="1:23" ht="24" customHeight="1" x14ac:dyDescent="0.3">
      <c r="A6" s="2" t="s">
        <v>5365</v>
      </c>
      <c r="B6" s="11" t="s">
        <v>55</v>
      </c>
      <c r="C6" s="11" t="s">
        <v>40</v>
      </c>
      <c r="D6" s="2" t="s">
        <v>2</v>
      </c>
      <c r="E6" s="2" t="s">
        <v>2</v>
      </c>
      <c r="F6" s="2" t="s">
        <v>2</v>
      </c>
      <c r="G6" s="2" t="s">
        <v>2</v>
      </c>
      <c r="H6" s="2" t="s">
        <v>2</v>
      </c>
      <c r="I6" s="2" t="s">
        <v>2</v>
      </c>
      <c r="J6" s="2" t="s">
        <v>2</v>
      </c>
      <c r="K6" s="2" t="s">
        <v>2</v>
      </c>
      <c r="L6" s="2" t="s">
        <v>2</v>
      </c>
      <c r="M6" s="4">
        <v>20590.3</v>
      </c>
      <c r="N6" s="4">
        <v>2532824</v>
      </c>
      <c r="O6" s="4">
        <f t="shared" ref="O6:O18" si="0">SUM(P6:S6)</f>
        <v>136998.70000000001</v>
      </c>
      <c r="P6" s="4">
        <v>123136.3</v>
      </c>
      <c r="Q6" s="4">
        <v>7595.2</v>
      </c>
      <c r="R6" s="4">
        <v>1153</v>
      </c>
      <c r="S6" s="4">
        <v>5114.2</v>
      </c>
      <c r="T6" s="2" t="s">
        <v>2</v>
      </c>
      <c r="U6" s="2" t="s">
        <v>2</v>
      </c>
      <c r="V6" s="2" t="s">
        <v>2</v>
      </c>
      <c r="W6" s="2" t="s">
        <v>2</v>
      </c>
    </row>
    <row r="7" spans="1:23" ht="24" customHeight="1" x14ac:dyDescent="0.3">
      <c r="A7" s="2" t="s">
        <v>46</v>
      </c>
      <c r="B7" s="11"/>
      <c r="C7" s="11" t="s">
        <v>182</v>
      </c>
      <c r="D7" s="2" t="s">
        <v>429</v>
      </c>
      <c r="E7" s="2" t="s">
        <v>439</v>
      </c>
      <c r="F7" s="2" t="s">
        <v>5366</v>
      </c>
      <c r="G7" s="2" t="s">
        <v>5367</v>
      </c>
      <c r="H7" s="2" t="s">
        <v>5368</v>
      </c>
      <c r="I7" s="2" t="s">
        <v>5368</v>
      </c>
      <c r="J7" s="2" t="s">
        <v>5369</v>
      </c>
      <c r="K7" s="2" t="s">
        <v>5370</v>
      </c>
      <c r="L7" s="2" t="s">
        <v>5371</v>
      </c>
      <c r="M7" s="4">
        <v>1770</v>
      </c>
      <c r="N7" s="4">
        <v>286013.3</v>
      </c>
      <c r="O7" s="4">
        <f t="shared" si="0"/>
        <v>397.9</v>
      </c>
      <c r="P7" s="4">
        <v>397.9</v>
      </c>
      <c r="Q7" s="4">
        <v>0</v>
      </c>
      <c r="R7" s="4">
        <v>0</v>
      </c>
      <c r="S7" s="4">
        <v>0</v>
      </c>
      <c r="T7" s="2" t="s">
        <v>5372</v>
      </c>
      <c r="U7" s="2" t="s">
        <v>5373</v>
      </c>
      <c r="V7" s="2" t="s">
        <v>2</v>
      </c>
      <c r="W7" s="2" t="s">
        <v>2</v>
      </c>
    </row>
    <row r="8" spans="1:23" ht="24" customHeight="1" x14ac:dyDescent="0.3">
      <c r="A8" s="2" t="s">
        <v>49</v>
      </c>
      <c r="B8" s="11"/>
      <c r="C8" s="11"/>
      <c r="D8" s="2" t="s">
        <v>5374</v>
      </c>
      <c r="E8" s="2" t="s">
        <v>5375</v>
      </c>
      <c r="F8" s="2" t="s">
        <v>5376</v>
      </c>
      <c r="G8" s="2" t="s">
        <v>2</v>
      </c>
      <c r="H8" s="2" t="s">
        <v>5377</v>
      </c>
      <c r="I8" s="2" t="s">
        <v>5378</v>
      </c>
      <c r="J8" s="2" t="s">
        <v>5377</v>
      </c>
      <c r="K8" s="2" t="s">
        <v>531</v>
      </c>
      <c r="L8" s="2" t="s">
        <v>5379</v>
      </c>
      <c r="M8" s="4">
        <v>19.899999999999999</v>
      </c>
      <c r="N8" s="4">
        <v>6281.6</v>
      </c>
      <c r="O8" s="4">
        <f t="shared" si="0"/>
        <v>0</v>
      </c>
      <c r="P8" s="4">
        <v>0</v>
      </c>
      <c r="Q8" s="4">
        <v>0</v>
      </c>
      <c r="R8" s="4">
        <v>0</v>
      </c>
      <c r="S8" s="4">
        <v>0</v>
      </c>
      <c r="T8" s="2" t="s">
        <v>5372</v>
      </c>
      <c r="U8" s="2" t="s">
        <v>5380</v>
      </c>
      <c r="V8" s="2" t="s">
        <v>2</v>
      </c>
      <c r="W8" s="2" t="s">
        <v>2</v>
      </c>
    </row>
    <row r="9" spans="1:23" ht="24" customHeight="1" x14ac:dyDescent="0.3">
      <c r="A9" s="2" t="s">
        <v>50</v>
      </c>
      <c r="B9" s="11"/>
      <c r="C9" s="11"/>
      <c r="D9" s="2" t="s">
        <v>5381</v>
      </c>
      <c r="E9" s="2" t="s">
        <v>5382</v>
      </c>
      <c r="F9" s="2" t="s">
        <v>5383</v>
      </c>
      <c r="G9" s="2" t="s">
        <v>2</v>
      </c>
      <c r="H9" s="2" t="s">
        <v>5384</v>
      </c>
      <c r="I9" s="2" t="s">
        <v>5385</v>
      </c>
      <c r="J9" s="2" t="s">
        <v>5385</v>
      </c>
      <c r="K9" s="2" t="s">
        <v>521</v>
      </c>
      <c r="L9" s="2" t="s">
        <v>5386</v>
      </c>
      <c r="M9" s="4">
        <v>46</v>
      </c>
      <c r="N9" s="4">
        <v>0</v>
      </c>
      <c r="O9" s="4">
        <f t="shared" si="0"/>
        <v>0</v>
      </c>
      <c r="P9" s="4">
        <v>0</v>
      </c>
      <c r="Q9" s="4">
        <v>0</v>
      </c>
      <c r="R9" s="4">
        <v>0</v>
      </c>
      <c r="S9" s="4">
        <v>0</v>
      </c>
      <c r="T9" s="2" t="s">
        <v>5387</v>
      </c>
      <c r="U9" s="2" t="s">
        <v>3556</v>
      </c>
      <c r="V9" s="2" t="s">
        <v>2</v>
      </c>
      <c r="W9" s="2" t="s">
        <v>2</v>
      </c>
    </row>
    <row r="10" spans="1:23" ht="24" customHeight="1" x14ac:dyDescent="0.3">
      <c r="A10" s="2" t="s">
        <v>51</v>
      </c>
      <c r="B10" s="11"/>
      <c r="C10" s="11"/>
      <c r="D10" s="2" t="s">
        <v>5388</v>
      </c>
      <c r="E10" s="2" t="s">
        <v>5389</v>
      </c>
      <c r="F10" s="2" t="s">
        <v>5383</v>
      </c>
      <c r="G10" s="2" t="s">
        <v>5367</v>
      </c>
      <c r="H10" s="2" t="s">
        <v>5384</v>
      </c>
      <c r="I10" s="2" t="s">
        <v>5384</v>
      </c>
      <c r="J10" s="2" t="s">
        <v>5384</v>
      </c>
      <c r="K10" s="2" t="s">
        <v>5390</v>
      </c>
      <c r="L10" s="2" t="s">
        <v>5391</v>
      </c>
      <c r="M10" s="4">
        <v>414</v>
      </c>
      <c r="N10" s="4">
        <v>3320.9</v>
      </c>
      <c r="O10" s="4">
        <f t="shared" si="0"/>
        <v>409.6</v>
      </c>
      <c r="P10" s="4">
        <v>277.8</v>
      </c>
      <c r="Q10" s="4">
        <v>0</v>
      </c>
      <c r="R10" s="4">
        <v>131.80000000000001</v>
      </c>
      <c r="S10" s="4">
        <v>0</v>
      </c>
      <c r="T10" s="2" t="s">
        <v>5387</v>
      </c>
      <c r="U10" s="2" t="s">
        <v>3388</v>
      </c>
      <c r="V10" s="2" t="s">
        <v>2</v>
      </c>
      <c r="W10" s="2" t="s">
        <v>2</v>
      </c>
    </row>
    <row r="11" spans="1:23" ht="24" customHeight="1" x14ac:dyDescent="0.3">
      <c r="A11" s="2" t="s">
        <v>52</v>
      </c>
      <c r="B11" s="11"/>
      <c r="C11" s="11"/>
      <c r="D11" s="2" t="s">
        <v>5392</v>
      </c>
      <c r="E11" s="2" t="s">
        <v>5393</v>
      </c>
      <c r="F11" s="2" t="s">
        <v>5394</v>
      </c>
      <c r="G11" s="2" t="s">
        <v>2</v>
      </c>
      <c r="H11" s="2" t="s">
        <v>2</v>
      </c>
      <c r="I11" s="2" t="s">
        <v>5395</v>
      </c>
      <c r="J11" s="2" t="s">
        <v>2</v>
      </c>
      <c r="K11" s="2" t="s">
        <v>5396</v>
      </c>
      <c r="L11" s="2" t="s">
        <v>5397</v>
      </c>
      <c r="M11" s="4">
        <v>75</v>
      </c>
      <c r="N11" s="4">
        <v>5468.3</v>
      </c>
      <c r="O11" s="4">
        <f t="shared" si="0"/>
        <v>0</v>
      </c>
      <c r="P11" s="4">
        <v>0</v>
      </c>
      <c r="Q11" s="4">
        <v>0</v>
      </c>
      <c r="R11" s="4">
        <v>0</v>
      </c>
      <c r="S11" s="4">
        <v>0</v>
      </c>
      <c r="T11" s="2" t="s">
        <v>5398</v>
      </c>
      <c r="U11" s="2" t="s">
        <v>5108</v>
      </c>
      <c r="V11" s="2" t="s">
        <v>2</v>
      </c>
      <c r="W11" s="2" t="s">
        <v>2</v>
      </c>
    </row>
    <row r="12" spans="1:23" ht="24" customHeight="1" x14ac:dyDescent="0.3">
      <c r="A12" s="2" t="s">
        <v>77</v>
      </c>
      <c r="B12" s="11"/>
      <c r="C12" s="11"/>
      <c r="D12" s="2" t="s">
        <v>5399</v>
      </c>
      <c r="E12" s="2" t="s">
        <v>5400</v>
      </c>
      <c r="F12" s="2" t="s">
        <v>5401</v>
      </c>
      <c r="G12" s="2" t="s">
        <v>2</v>
      </c>
      <c r="H12" s="2" t="s">
        <v>5402</v>
      </c>
      <c r="I12" s="2" t="s">
        <v>5402</v>
      </c>
      <c r="J12" s="2" t="s">
        <v>2</v>
      </c>
      <c r="K12" s="2" t="s">
        <v>195</v>
      </c>
      <c r="L12" s="2" t="s">
        <v>5403</v>
      </c>
      <c r="M12" s="4">
        <v>230</v>
      </c>
      <c r="N12" s="4">
        <v>47862.3</v>
      </c>
      <c r="O12" s="4">
        <f t="shared" si="0"/>
        <v>33.700000000000003</v>
      </c>
      <c r="P12" s="4">
        <v>23.3</v>
      </c>
      <c r="Q12" s="4">
        <v>10.4</v>
      </c>
      <c r="R12" s="4">
        <v>0</v>
      </c>
      <c r="S12" s="4">
        <v>0</v>
      </c>
      <c r="T12" s="2" t="s">
        <v>5404</v>
      </c>
      <c r="U12" s="2" t="s">
        <v>4577</v>
      </c>
      <c r="V12" s="2" t="s">
        <v>2</v>
      </c>
      <c r="W12" s="2" t="s">
        <v>2</v>
      </c>
    </row>
    <row r="13" spans="1:23" ht="24" customHeight="1" x14ac:dyDescent="0.3">
      <c r="A13" s="2" t="s">
        <v>82</v>
      </c>
      <c r="B13" s="11"/>
      <c r="C13" s="11"/>
      <c r="D13" s="2" t="s">
        <v>5405</v>
      </c>
      <c r="E13" s="2" t="s">
        <v>5375</v>
      </c>
      <c r="F13" s="2" t="s">
        <v>5406</v>
      </c>
      <c r="G13" s="2" t="s">
        <v>2</v>
      </c>
      <c r="H13" s="2" t="s">
        <v>5377</v>
      </c>
      <c r="I13" s="2" t="s">
        <v>5377</v>
      </c>
      <c r="J13" s="2" t="s">
        <v>5377</v>
      </c>
      <c r="K13" s="2" t="s">
        <v>531</v>
      </c>
      <c r="L13" s="2" t="s">
        <v>5379</v>
      </c>
      <c r="M13" s="4">
        <v>32</v>
      </c>
      <c r="N13" s="4">
        <v>7170.3</v>
      </c>
      <c r="O13" s="4">
        <f t="shared" si="0"/>
        <v>0</v>
      </c>
      <c r="P13" s="4">
        <v>0</v>
      </c>
      <c r="Q13" s="4">
        <v>0</v>
      </c>
      <c r="R13" s="4">
        <v>0</v>
      </c>
      <c r="S13" s="4">
        <v>0</v>
      </c>
      <c r="T13" s="2" t="s">
        <v>5407</v>
      </c>
      <c r="U13" s="2" t="s">
        <v>5373</v>
      </c>
      <c r="V13" s="2" t="s">
        <v>2</v>
      </c>
      <c r="W13" s="2" t="s">
        <v>2</v>
      </c>
    </row>
    <row r="14" spans="1:23" ht="24" customHeight="1" x14ac:dyDescent="0.3">
      <c r="A14" s="2" t="s">
        <v>87</v>
      </c>
      <c r="B14" s="11"/>
      <c r="C14" s="11" t="s">
        <v>193</v>
      </c>
      <c r="D14" s="2" t="s">
        <v>3389</v>
      </c>
      <c r="E14" s="2" t="s">
        <v>5408</v>
      </c>
      <c r="F14" s="2" t="s">
        <v>5409</v>
      </c>
      <c r="G14" s="2" t="s">
        <v>2</v>
      </c>
      <c r="H14" s="2" t="s">
        <v>27</v>
      </c>
      <c r="I14" s="2" t="s">
        <v>28</v>
      </c>
      <c r="J14" s="2" t="s">
        <v>2</v>
      </c>
      <c r="K14" s="2" t="s">
        <v>506</v>
      </c>
      <c r="L14" s="2" t="s">
        <v>5358</v>
      </c>
      <c r="M14" s="4">
        <v>50</v>
      </c>
      <c r="N14" s="4">
        <v>1401.5</v>
      </c>
      <c r="O14" s="4">
        <f t="shared" si="0"/>
        <v>0</v>
      </c>
      <c r="P14" s="4">
        <v>0</v>
      </c>
      <c r="Q14" s="4">
        <v>0</v>
      </c>
      <c r="R14" s="4">
        <v>0</v>
      </c>
      <c r="S14" s="4">
        <v>0</v>
      </c>
      <c r="T14" s="2" t="s">
        <v>5410</v>
      </c>
      <c r="U14" s="2" t="s">
        <v>569</v>
      </c>
      <c r="V14" s="2" t="s">
        <v>2</v>
      </c>
      <c r="W14" s="2" t="s">
        <v>2</v>
      </c>
    </row>
    <row r="15" spans="1:23" ht="24" customHeight="1" x14ac:dyDescent="0.3">
      <c r="A15" s="2" t="s">
        <v>92</v>
      </c>
      <c r="B15" s="11"/>
      <c r="C15" s="11"/>
      <c r="D15" s="2" t="s">
        <v>502</v>
      </c>
      <c r="E15" s="2" t="s">
        <v>503</v>
      </c>
      <c r="F15" s="2" t="s">
        <v>504</v>
      </c>
      <c r="G15" s="2" t="s">
        <v>2</v>
      </c>
      <c r="H15" s="2" t="s">
        <v>27</v>
      </c>
      <c r="I15" s="2" t="s">
        <v>28</v>
      </c>
      <c r="J15" s="2" t="s">
        <v>2</v>
      </c>
      <c r="K15" s="2" t="s">
        <v>506</v>
      </c>
      <c r="L15" s="2" t="s">
        <v>3543</v>
      </c>
      <c r="M15" s="4">
        <v>1120</v>
      </c>
      <c r="N15" s="4">
        <v>166143.5</v>
      </c>
      <c r="O15" s="4">
        <f t="shared" si="0"/>
        <v>0</v>
      </c>
      <c r="P15" s="4">
        <v>0</v>
      </c>
      <c r="Q15" s="4">
        <v>0</v>
      </c>
      <c r="R15" s="4">
        <v>0</v>
      </c>
      <c r="S15" s="4">
        <v>0</v>
      </c>
      <c r="T15" s="2" t="s">
        <v>508</v>
      </c>
      <c r="U15" s="2" t="s">
        <v>509</v>
      </c>
      <c r="V15" s="2" t="s">
        <v>2</v>
      </c>
      <c r="W15" s="2" t="s">
        <v>2</v>
      </c>
    </row>
    <row r="16" spans="1:23" ht="24" customHeight="1" x14ac:dyDescent="0.3">
      <c r="A16" s="2" t="s">
        <v>96</v>
      </c>
      <c r="B16" s="11"/>
      <c r="C16" s="11"/>
      <c r="D16" s="2" t="s">
        <v>5411</v>
      </c>
      <c r="E16" s="2" t="s">
        <v>5412</v>
      </c>
      <c r="F16" s="2" t="s">
        <v>5413</v>
      </c>
      <c r="G16" s="2" t="s">
        <v>2</v>
      </c>
      <c r="H16" s="2" t="s">
        <v>27</v>
      </c>
      <c r="I16" s="2" t="s">
        <v>28</v>
      </c>
      <c r="J16" s="2" t="s">
        <v>2</v>
      </c>
      <c r="K16" s="2" t="s">
        <v>506</v>
      </c>
      <c r="L16" s="2" t="s">
        <v>590</v>
      </c>
      <c r="M16" s="4">
        <v>1580</v>
      </c>
      <c r="N16" s="4">
        <v>235575</v>
      </c>
      <c r="O16" s="4">
        <f t="shared" si="0"/>
        <v>3497.2</v>
      </c>
      <c r="P16" s="4">
        <v>3223.7</v>
      </c>
      <c r="Q16" s="4">
        <v>273.5</v>
      </c>
      <c r="R16" s="4">
        <v>0</v>
      </c>
      <c r="S16" s="4">
        <v>0</v>
      </c>
      <c r="T16" s="2" t="s">
        <v>5414</v>
      </c>
      <c r="U16" s="2" t="s">
        <v>3671</v>
      </c>
      <c r="V16" s="2" t="s">
        <v>2</v>
      </c>
      <c r="W16" s="2" t="s">
        <v>2</v>
      </c>
    </row>
    <row r="17" spans="1:23" ht="24" customHeight="1" x14ac:dyDescent="0.3">
      <c r="A17" s="2" t="s">
        <v>102</v>
      </c>
      <c r="B17" s="11"/>
      <c r="C17" s="11"/>
      <c r="D17" s="2" t="s">
        <v>5399</v>
      </c>
      <c r="E17" s="2" t="s">
        <v>5400</v>
      </c>
      <c r="F17" s="2" t="s">
        <v>5415</v>
      </c>
      <c r="G17" s="2" t="s">
        <v>2</v>
      </c>
      <c r="H17" s="2" t="s">
        <v>27</v>
      </c>
      <c r="I17" s="2" t="s">
        <v>28</v>
      </c>
      <c r="J17" s="2" t="s">
        <v>2</v>
      </c>
      <c r="K17" s="2" t="s">
        <v>5416</v>
      </c>
      <c r="L17" s="2" t="s">
        <v>584</v>
      </c>
      <c r="M17" s="4">
        <v>200</v>
      </c>
      <c r="N17" s="4">
        <v>3750.1</v>
      </c>
      <c r="O17" s="4">
        <f t="shared" si="0"/>
        <v>0</v>
      </c>
      <c r="P17" s="4">
        <v>0</v>
      </c>
      <c r="Q17" s="4">
        <v>0</v>
      </c>
      <c r="R17" s="4">
        <v>0</v>
      </c>
      <c r="S17" s="4">
        <v>0</v>
      </c>
      <c r="T17" s="2" t="s">
        <v>5404</v>
      </c>
      <c r="U17" s="2" t="s">
        <v>569</v>
      </c>
      <c r="V17" s="2" t="s">
        <v>2</v>
      </c>
      <c r="W17" s="2" t="s">
        <v>2</v>
      </c>
    </row>
    <row r="18" spans="1:23" ht="24" customHeight="1" x14ac:dyDescent="0.3">
      <c r="A18" s="2" t="s">
        <v>104</v>
      </c>
      <c r="B18" s="11"/>
      <c r="C18" s="11" t="s">
        <v>603</v>
      </c>
      <c r="D18" s="2" t="s">
        <v>5417</v>
      </c>
      <c r="E18" s="2" t="s">
        <v>405</v>
      </c>
      <c r="F18" s="2" t="s">
        <v>5418</v>
      </c>
      <c r="G18" s="2" t="s">
        <v>2</v>
      </c>
      <c r="H18" s="2" t="s">
        <v>27</v>
      </c>
      <c r="I18" s="2" t="s">
        <v>28</v>
      </c>
      <c r="J18" s="2" t="s">
        <v>2</v>
      </c>
      <c r="K18" s="2" t="s">
        <v>298</v>
      </c>
      <c r="L18" s="2" t="s">
        <v>568</v>
      </c>
      <c r="M18" s="4">
        <v>320</v>
      </c>
      <c r="N18" s="4">
        <v>46882</v>
      </c>
      <c r="O18" s="4">
        <f t="shared" si="0"/>
        <v>0</v>
      </c>
      <c r="P18" s="4">
        <v>0</v>
      </c>
      <c r="Q18" s="4">
        <v>0</v>
      </c>
      <c r="R18" s="4">
        <v>0</v>
      </c>
      <c r="S18" s="4">
        <v>0</v>
      </c>
      <c r="T18" s="2" t="s">
        <v>5419</v>
      </c>
      <c r="U18" s="2" t="s">
        <v>4594</v>
      </c>
      <c r="V18" s="2" t="s">
        <v>2</v>
      </c>
      <c r="W18" s="2" t="s">
        <v>2</v>
      </c>
    </row>
    <row r="19" spans="1:23" ht="24" customHeight="1" x14ac:dyDescent="0.3">
      <c r="A19" s="2" t="s">
        <v>105</v>
      </c>
      <c r="B19" s="11"/>
      <c r="C19" s="11"/>
      <c r="D19" s="2" t="s">
        <v>4634</v>
      </c>
      <c r="E19" s="2" t="s">
        <v>405</v>
      </c>
      <c r="F19" s="2" t="s">
        <v>5420</v>
      </c>
      <c r="G19" s="2" t="s">
        <v>2</v>
      </c>
      <c r="H19" s="2" t="s">
        <v>27</v>
      </c>
      <c r="I19" s="2" t="s">
        <v>28</v>
      </c>
      <c r="J19" s="2" t="s">
        <v>2</v>
      </c>
      <c r="K19" s="2" t="s">
        <v>5421</v>
      </c>
      <c r="L19" s="2" t="s">
        <v>3543</v>
      </c>
      <c r="M19" s="4">
        <v>4</v>
      </c>
      <c r="N19" s="4">
        <v>0</v>
      </c>
      <c r="O19" s="4">
        <f t="shared" ref="O19:O82" si="1">SUM(P19:S19)</f>
        <v>0</v>
      </c>
      <c r="P19" s="4">
        <v>0</v>
      </c>
      <c r="Q19" s="4">
        <v>0</v>
      </c>
      <c r="R19" s="4">
        <v>0</v>
      </c>
      <c r="S19" s="4">
        <v>0</v>
      </c>
      <c r="T19" s="2" t="s">
        <v>4637</v>
      </c>
      <c r="U19" s="2" t="s">
        <v>184</v>
      </c>
      <c r="V19" s="2" t="s">
        <v>828</v>
      </c>
      <c r="W19" s="2" t="s">
        <v>980</v>
      </c>
    </row>
    <row r="20" spans="1:23" ht="24" customHeight="1" x14ac:dyDescent="0.3">
      <c r="A20" s="2" t="s">
        <v>106</v>
      </c>
      <c r="B20" s="11"/>
      <c r="C20" s="11"/>
      <c r="D20" s="2" t="s">
        <v>5363</v>
      </c>
      <c r="E20" s="2" t="s">
        <v>5364</v>
      </c>
      <c r="F20" s="2" t="s">
        <v>5422</v>
      </c>
      <c r="G20" s="2" t="s">
        <v>2</v>
      </c>
      <c r="H20" s="2" t="s">
        <v>27</v>
      </c>
      <c r="I20" s="2" t="s">
        <v>28</v>
      </c>
      <c r="J20" s="2" t="s">
        <v>2</v>
      </c>
      <c r="K20" s="2" t="s">
        <v>565</v>
      </c>
      <c r="L20" s="2" t="s">
        <v>3543</v>
      </c>
      <c r="M20" s="4">
        <v>0.3</v>
      </c>
      <c r="N20" s="4">
        <v>4.9000000000000004</v>
      </c>
      <c r="O20" s="4">
        <f t="shared" si="1"/>
        <v>3.9</v>
      </c>
      <c r="P20" s="4">
        <v>3.9</v>
      </c>
      <c r="Q20" s="4">
        <v>0</v>
      </c>
      <c r="R20" s="4">
        <v>0</v>
      </c>
      <c r="S20" s="4">
        <v>0</v>
      </c>
      <c r="T20" s="2" t="s">
        <v>5423</v>
      </c>
      <c r="U20" s="2" t="s">
        <v>5424</v>
      </c>
      <c r="V20" s="2" t="s">
        <v>2</v>
      </c>
      <c r="W20" s="2" t="s">
        <v>2</v>
      </c>
    </row>
    <row r="21" spans="1:23" ht="24" customHeight="1" x14ac:dyDescent="0.3">
      <c r="A21" s="2" t="s">
        <v>107</v>
      </c>
      <c r="B21" s="11"/>
      <c r="C21" s="11" t="s">
        <v>211</v>
      </c>
      <c r="D21" s="2" t="s">
        <v>5425</v>
      </c>
      <c r="E21" s="2" t="s">
        <v>5426</v>
      </c>
      <c r="F21" s="2" t="s">
        <v>5427</v>
      </c>
      <c r="G21" s="2" t="s">
        <v>2</v>
      </c>
      <c r="H21" s="2" t="s">
        <v>27</v>
      </c>
      <c r="I21" s="2" t="s">
        <v>28</v>
      </c>
      <c r="J21" s="2" t="s">
        <v>2</v>
      </c>
      <c r="K21" s="2" t="s">
        <v>5428</v>
      </c>
      <c r="L21" s="2" t="s">
        <v>584</v>
      </c>
      <c r="M21" s="4">
        <v>2</v>
      </c>
      <c r="N21" s="4">
        <v>0</v>
      </c>
      <c r="O21" s="4">
        <f t="shared" si="1"/>
        <v>0</v>
      </c>
      <c r="P21" s="4">
        <v>0</v>
      </c>
      <c r="Q21" s="4">
        <v>0</v>
      </c>
      <c r="R21" s="4">
        <v>0</v>
      </c>
      <c r="S21" s="4">
        <v>0</v>
      </c>
      <c r="T21" s="2" t="s">
        <v>5429</v>
      </c>
      <c r="U21" s="2" t="s">
        <v>3647</v>
      </c>
      <c r="V21" s="2" t="s">
        <v>2</v>
      </c>
      <c r="W21" s="2" t="s">
        <v>2</v>
      </c>
    </row>
    <row r="22" spans="1:23" ht="24" customHeight="1" x14ac:dyDescent="0.3">
      <c r="A22" s="2" t="s">
        <v>108</v>
      </c>
      <c r="B22" s="11"/>
      <c r="C22" s="11"/>
      <c r="D22" s="2" t="s">
        <v>5430</v>
      </c>
      <c r="E22" s="2" t="s">
        <v>5431</v>
      </c>
      <c r="F22" s="2" t="s">
        <v>5427</v>
      </c>
      <c r="G22" s="2" t="s">
        <v>2</v>
      </c>
      <c r="H22" s="2" t="s">
        <v>27</v>
      </c>
      <c r="I22" s="2" t="s">
        <v>28</v>
      </c>
      <c r="J22" s="2" t="s">
        <v>2</v>
      </c>
      <c r="K22" s="2" t="s">
        <v>5049</v>
      </c>
      <c r="L22" s="2" t="s">
        <v>584</v>
      </c>
      <c r="M22" s="4">
        <v>1</v>
      </c>
      <c r="N22" s="4">
        <v>4.4000000000000004</v>
      </c>
      <c r="O22" s="4">
        <f t="shared" si="1"/>
        <v>0</v>
      </c>
      <c r="P22" s="4">
        <v>0</v>
      </c>
      <c r="Q22" s="4">
        <v>0</v>
      </c>
      <c r="R22" s="4">
        <v>0</v>
      </c>
      <c r="S22" s="4">
        <v>0</v>
      </c>
      <c r="T22" s="2" t="s">
        <v>5432</v>
      </c>
      <c r="U22" s="2" t="s">
        <v>4586</v>
      </c>
      <c r="V22" s="2" t="s">
        <v>2</v>
      </c>
      <c r="W22" s="2" t="s">
        <v>2</v>
      </c>
    </row>
    <row r="23" spans="1:23" ht="24" customHeight="1" x14ac:dyDescent="0.3">
      <c r="A23" s="2" t="s">
        <v>109</v>
      </c>
      <c r="B23" s="11"/>
      <c r="C23" s="11"/>
      <c r="D23" s="2" t="s">
        <v>5433</v>
      </c>
      <c r="E23" s="2" t="s">
        <v>3524</v>
      </c>
      <c r="F23" s="2" t="s">
        <v>5427</v>
      </c>
      <c r="G23" s="2" t="s">
        <v>2</v>
      </c>
      <c r="H23" s="2" t="s">
        <v>27</v>
      </c>
      <c r="I23" s="2" t="s">
        <v>28</v>
      </c>
      <c r="J23" s="2" t="s">
        <v>2</v>
      </c>
      <c r="K23" s="2" t="s">
        <v>5428</v>
      </c>
      <c r="L23" s="2" t="s">
        <v>584</v>
      </c>
      <c r="M23" s="4">
        <v>12.1</v>
      </c>
      <c r="N23" s="4">
        <v>1.4</v>
      </c>
      <c r="O23" s="4">
        <f t="shared" si="1"/>
        <v>0</v>
      </c>
      <c r="P23" s="4">
        <v>0</v>
      </c>
      <c r="Q23" s="4">
        <v>0</v>
      </c>
      <c r="R23" s="4">
        <v>0</v>
      </c>
      <c r="S23" s="4">
        <v>0</v>
      </c>
      <c r="T23" s="2" t="s">
        <v>5434</v>
      </c>
      <c r="U23" s="2" t="s">
        <v>287</v>
      </c>
      <c r="V23" s="2" t="s">
        <v>2</v>
      </c>
      <c r="W23" s="2" t="s">
        <v>2</v>
      </c>
    </row>
    <row r="24" spans="1:23" ht="24" customHeight="1" x14ac:dyDescent="0.3">
      <c r="A24" s="2" t="s">
        <v>110</v>
      </c>
      <c r="B24" s="11"/>
      <c r="C24" s="11"/>
      <c r="D24" s="2" t="s">
        <v>5052</v>
      </c>
      <c r="E24" s="2" t="s">
        <v>5053</v>
      </c>
      <c r="F24" s="2" t="s">
        <v>5435</v>
      </c>
      <c r="G24" s="2" t="s">
        <v>2</v>
      </c>
      <c r="H24" s="2" t="s">
        <v>27</v>
      </c>
      <c r="I24" s="2" t="s">
        <v>28</v>
      </c>
      <c r="J24" s="2" t="s">
        <v>2</v>
      </c>
      <c r="K24" s="2" t="s">
        <v>565</v>
      </c>
      <c r="L24" s="2" t="s">
        <v>584</v>
      </c>
      <c r="M24" s="4">
        <v>1</v>
      </c>
      <c r="N24" s="4">
        <v>95.3</v>
      </c>
      <c r="O24" s="4">
        <f t="shared" si="1"/>
        <v>0</v>
      </c>
      <c r="P24" s="4">
        <v>0</v>
      </c>
      <c r="Q24" s="4">
        <v>0</v>
      </c>
      <c r="R24" s="4">
        <v>0</v>
      </c>
      <c r="S24" s="4">
        <v>0</v>
      </c>
      <c r="T24" s="2" t="s">
        <v>5055</v>
      </c>
      <c r="U24" s="2" t="s">
        <v>1950</v>
      </c>
      <c r="V24" s="2" t="s">
        <v>2</v>
      </c>
      <c r="W24" s="2" t="s">
        <v>2</v>
      </c>
    </row>
    <row r="25" spans="1:23" ht="24" customHeight="1" x14ac:dyDescent="0.3">
      <c r="A25" s="2" t="s">
        <v>111</v>
      </c>
      <c r="B25" s="11"/>
      <c r="C25" s="11"/>
      <c r="D25" s="2" t="s">
        <v>5436</v>
      </c>
      <c r="E25" s="2" t="s">
        <v>3553</v>
      </c>
      <c r="F25" s="2" t="s">
        <v>5437</v>
      </c>
      <c r="G25" s="2" t="s">
        <v>2</v>
      </c>
      <c r="H25" s="2" t="s">
        <v>27</v>
      </c>
      <c r="I25" s="2" t="s">
        <v>28</v>
      </c>
      <c r="J25" s="2" t="s">
        <v>2</v>
      </c>
      <c r="K25" s="2" t="s">
        <v>5438</v>
      </c>
      <c r="L25" s="2" t="s">
        <v>584</v>
      </c>
      <c r="M25" s="4">
        <v>5.8</v>
      </c>
      <c r="N25" s="4">
        <v>47.4</v>
      </c>
      <c r="O25" s="4">
        <f t="shared" si="1"/>
        <v>45</v>
      </c>
      <c r="P25" s="4">
        <v>45</v>
      </c>
      <c r="Q25" s="4">
        <v>0</v>
      </c>
      <c r="R25" s="4">
        <v>0</v>
      </c>
      <c r="S25" s="4">
        <v>0</v>
      </c>
      <c r="T25" s="2" t="s">
        <v>5439</v>
      </c>
      <c r="U25" s="2" t="s">
        <v>3645</v>
      </c>
      <c r="V25" s="2" t="s">
        <v>2</v>
      </c>
      <c r="W25" s="2" t="s">
        <v>2</v>
      </c>
    </row>
    <row r="26" spans="1:23" ht="24" customHeight="1" x14ac:dyDescent="0.3">
      <c r="A26" s="2" t="s">
        <v>112</v>
      </c>
      <c r="B26" s="11"/>
      <c r="C26" s="11"/>
      <c r="D26" s="2" t="s">
        <v>5440</v>
      </c>
      <c r="E26" s="2" t="s">
        <v>5441</v>
      </c>
      <c r="F26" s="2" t="s">
        <v>5442</v>
      </c>
      <c r="G26" s="2" t="s">
        <v>2</v>
      </c>
      <c r="H26" s="2" t="s">
        <v>27</v>
      </c>
      <c r="I26" s="2" t="s">
        <v>28</v>
      </c>
      <c r="J26" s="2" t="s">
        <v>2</v>
      </c>
      <c r="K26" s="2" t="s">
        <v>5443</v>
      </c>
      <c r="L26" s="2" t="s">
        <v>584</v>
      </c>
      <c r="M26" s="4">
        <v>0.5</v>
      </c>
      <c r="N26" s="4">
        <v>97.1</v>
      </c>
      <c r="O26" s="4">
        <f t="shared" si="1"/>
        <v>1.6</v>
      </c>
      <c r="P26" s="4">
        <v>0</v>
      </c>
      <c r="Q26" s="4">
        <v>0</v>
      </c>
      <c r="R26" s="4">
        <v>1.6</v>
      </c>
      <c r="S26" s="4">
        <v>0</v>
      </c>
      <c r="T26" s="2" t="s">
        <v>5444</v>
      </c>
      <c r="U26" s="2" t="s">
        <v>594</v>
      </c>
      <c r="V26" s="2" t="s">
        <v>2</v>
      </c>
      <c r="W26" s="2" t="s">
        <v>2</v>
      </c>
    </row>
    <row r="27" spans="1:23" ht="24" customHeight="1" x14ac:dyDescent="0.3">
      <c r="A27" s="2" t="s">
        <v>113</v>
      </c>
      <c r="B27" s="11"/>
      <c r="C27" s="11"/>
      <c r="D27" s="2" t="s">
        <v>5445</v>
      </c>
      <c r="E27" s="2" t="s">
        <v>405</v>
      </c>
      <c r="F27" s="2" t="s">
        <v>5446</v>
      </c>
      <c r="G27" s="2" t="s">
        <v>2</v>
      </c>
      <c r="H27" s="2" t="s">
        <v>27</v>
      </c>
      <c r="I27" s="2" t="s">
        <v>28</v>
      </c>
      <c r="J27" s="2" t="s">
        <v>2</v>
      </c>
      <c r="K27" s="2" t="s">
        <v>5447</v>
      </c>
      <c r="L27" s="2" t="s">
        <v>584</v>
      </c>
      <c r="M27" s="4">
        <v>4</v>
      </c>
      <c r="N27" s="4">
        <v>0</v>
      </c>
      <c r="O27" s="4">
        <f t="shared" si="1"/>
        <v>0</v>
      </c>
      <c r="P27" s="4">
        <v>0</v>
      </c>
      <c r="Q27" s="4">
        <v>0</v>
      </c>
      <c r="R27" s="4">
        <v>0</v>
      </c>
      <c r="S27" s="4">
        <v>0</v>
      </c>
      <c r="T27" s="2" t="s">
        <v>5448</v>
      </c>
      <c r="U27" s="2" t="s">
        <v>283</v>
      </c>
      <c r="V27" s="2" t="s">
        <v>2</v>
      </c>
      <c r="W27" s="2" t="s">
        <v>2</v>
      </c>
    </row>
    <row r="28" spans="1:23" ht="24" customHeight="1" x14ac:dyDescent="0.3">
      <c r="A28" s="2" t="s">
        <v>114</v>
      </c>
      <c r="B28" s="11"/>
      <c r="C28" s="11"/>
      <c r="D28" s="2" t="s">
        <v>5449</v>
      </c>
      <c r="E28" s="2" t="s">
        <v>5450</v>
      </c>
      <c r="F28" s="2" t="s">
        <v>5451</v>
      </c>
      <c r="G28" s="2" t="s">
        <v>2</v>
      </c>
      <c r="H28" s="2" t="s">
        <v>27</v>
      </c>
      <c r="I28" s="2" t="s">
        <v>28</v>
      </c>
      <c r="J28" s="2" t="s">
        <v>2</v>
      </c>
      <c r="K28" s="2" t="s">
        <v>565</v>
      </c>
      <c r="L28" s="2" t="s">
        <v>584</v>
      </c>
      <c r="M28" s="4">
        <v>29</v>
      </c>
      <c r="N28" s="4">
        <v>5.5</v>
      </c>
      <c r="O28" s="4">
        <f t="shared" si="1"/>
        <v>2.9</v>
      </c>
      <c r="P28" s="4">
        <v>2.9</v>
      </c>
      <c r="Q28" s="4">
        <v>0</v>
      </c>
      <c r="R28" s="4">
        <v>0</v>
      </c>
      <c r="S28" s="4">
        <v>0</v>
      </c>
      <c r="T28" s="2" t="s">
        <v>5452</v>
      </c>
      <c r="U28" s="2" t="s">
        <v>3649</v>
      </c>
      <c r="V28" s="2" t="s">
        <v>2</v>
      </c>
      <c r="W28" s="2" t="s">
        <v>2</v>
      </c>
    </row>
    <row r="29" spans="1:23" ht="24" customHeight="1" x14ac:dyDescent="0.3">
      <c r="A29" s="2" t="s">
        <v>115</v>
      </c>
      <c r="B29" s="11"/>
      <c r="C29" s="11"/>
      <c r="D29" s="2" t="s">
        <v>5453</v>
      </c>
      <c r="E29" s="2" t="s">
        <v>5454</v>
      </c>
      <c r="F29" s="2" t="s">
        <v>5455</v>
      </c>
      <c r="G29" s="2" t="s">
        <v>2</v>
      </c>
      <c r="H29" s="2" t="s">
        <v>27</v>
      </c>
      <c r="I29" s="2" t="s">
        <v>28</v>
      </c>
      <c r="J29" s="2" t="s">
        <v>2</v>
      </c>
      <c r="K29" s="2" t="s">
        <v>5456</v>
      </c>
      <c r="L29" s="2" t="s">
        <v>584</v>
      </c>
      <c r="M29" s="4">
        <v>5.2</v>
      </c>
      <c r="N29" s="4">
        <v>5.5</v>
      </c>
      <c r="O29" s="4">
        <f t="shared" si="1"/>
        <v>0</v>
      </c>
      <c r="P29" s="4">
        <v>0</v>
      </c>
      <c r="Q29" s="4">
        <v>0</v>
      </c>
      <c r="R29" s="4">
        <v>0</v>
      </c>
      <c r="S29" s="4">
        <v>0</v>
      </c>
      <c r="T29" s="2" t="s">
        <v>5457</v>
      </c>
      <c r="U29" s="2" t="s">
        <v>3634</v>
      </c>
      <c r="V29" s="2" t="s">
        <v>2</v>
      </c>
      <c r="W29" s="2" t="s">
        <v>2</v>
      </c>
    </row>
    <row r="30" spans="1:23" ht="24" customHeight="1" x14ac:dyDescent="0.3">
      <c r="A30" s="2" t="s">
        <v>116</v>
      </c>
      <c r="B30" s="11"/>
      <c r="C30" s="11"/>
      <c r="D30" s="2" t="s">
        <v>2191</v>
      </c>
      <c r="E30" s="2" t="s">
        <v>2192</v>
      </c>
      <c r="F30" s="2" t="s">
        <v>4293</v>
      </c>
      <c r="G30" s="2" t="s">
        <v>2</v>
      </c>
      <c r="H30" s="2" t="s">
        <v>27</v>
      </c>
      <c r="I30" s="2" t="s">
        <v>28</v>
      </c>
      <c r="J30" s="2" t="s">
        <v>2</v>
      </c>
      <c r="K30" s="2" t="s">
        <v>5458</v>
      </c>
      <c r="L30" s="2" t="s">
        <v>584</v>
      </c>
      <c r="M30" s="4">
        <v>1.6</v>
      </c>
      <c r="N30" s="4">
        <v>0</v>
      </c>
      <c r="O30" s="4">
        <f t="shared" si="1"/>
        <v>0</v>
      </c>
      <c r="P30" s="4">
        <v>0</v>
      </c>
      <c r="Q30" s="4">
        <v>0</v>
      </c>
      <c r="R30" s="4">
        <v>0</v>
      </c>
      <c r="S30" s="4">
        <v>0</v>
      </c>
      <c r="T30" s="2" t="s">
        <v>2194</v>
      </c>
      <c r="U30" s="2" t="s">
        <v>4584</v>
      </c>
      <c r="V30" s="2" t="s">
        <v>2</v>
      </c>
      <c r="W30" s="2" t="s">
        <v>579</v>
      </c>
    </row>
    <row r="31" spans="1:23" ht="24" customHeight="1" x14ac:dyDescent="0.3">
      <c r="A31" s="2" t="s">
        <v>117</v>
      </c>
      <c r="B31" s="11"/>
      <c r="C31" s="11"/>
      <c r="D31" s="2" t="s">
        <v>5459</v>
      </c>
      <c r="E31" s="2" t="s">
        <v>5460</v>
      </c>
      <c r="F31" s="2" t="s">
        <v>5461</v>
      </c>
      <c r="G31" s="2" t="s">
        <v>2</v>
      </c>
      <c r="H31" s="2" t="s">
        <v>27</v>
      </c>
      <c r="I31" s="2" t="s">
        <v>28</v>
      </c>
      <c r="J31" s="2" t="s">
        <v>2</v>
      </c>
      <c r="K31" s="2" t="s">
        <v>565</v>
      </c>
      <c r="L31" s="2" t="s">
        <v>584</v>
      </c>
      <c r="M31" s="4">
        <v>1.7</v>
      </c>
      <c r="N31" s="4">
        <v>0</v>
      </c>
      <c r="O31" s="4">
        <f t="shared" si="1"/>
        <v>0</v>
      </c>
      <c r="P31" s="4">
        <v>0</v>
      </c>
      <c r="Q31" s="4">
        <v>0</v>
      </c>
      <c r="R31" s="4">
        <v>0</v>
      </c>
      <c r="S31" s="4">
        <v>0</v>
      </c>
      <c r="T31" s="2" t="s">
        <v>5462</v>
      </c>
      <c r="U31" s="2" t="s">
        <v>4226</v>
      </c>
      <c r="V31" s="2" t="s">
        <v>2</v>
      </c>
      <c r="W31" s="2" t="s">
        <v>2</v>
      </c>
    </row>
    <row r="32" spans="1:23" ht="24" customHeight="1" x14ac:dyDescent="0.3">
      <c r="A32" s="2" t="s">
        <v>118</v>
      </c>
      <c r="B32" s="11"/>
      <c r="C32" s="11"/>
      <c r="D32" s="2" t="s">
        <v>4930</v>
      </c>
      <c r="E32" s="2" t="s">
        <v>1014</v>
      </c>
      <c r="F32" s="2" t="s">
        <v>5463</v>
      </c>
      <c r="G32" s="2" t="s">
        <v>2</v>
      </c>
      <c r="H32" s="2" t="s">
        <v>27</v>
      </c>
      <c r="I32" s="2" t="s">
        <v>28</v>
      </c>
      <c r="J32" s="2" t="s">
        <v>2</v>
      </c>
      <c r="K32" s="2" t="s">
        <v>5464</v>
      </c>
      <c r="L32" s="2" t="s">
        <v>584</v>
      </c>
      <c r="M32" s="4">
        <v>0.7</v>
      </c>
      <c r="N32" s="4">
        <v>48.1</v>
      </c>
      <c r="O32" s="4">
        <f t="shared" si="1"/>
        <v>48.1</v>
      </c>
      <c r="P32" s="4">
        <v>0</v>
      </c>
      <c r="Q32" s="4">
        <v>0</v>
      </c>
      <c r="R32" s="4">
        <v>0</v>
      </c>
      <c r="S32" s="4">
        <v>48.1</v>
      </c>
      <c r="T32" s="2" t="s">
        <v>2</v>
      </c>
      <c r="U32" s="2" t="s">
        <v>4576</v>
      </c>
      <c r="V32" s="2" t="s">
        <v>2</v>
      </c>
      <c r="W32" s="2" t="s">
        <v>2</v>
      </c>
    </row>
    <row r="33" spans="1:23" ht="24" customHeight="1" x14ac:dyDescent="0.3">
      <c r="A33" s="2" t="s">
        <v>119</v>
      </c>
      <c r="B33" s="11"/>
      <c r="C33" s="11"/>
      <c r="D33" s="2" t="s">
        <v>5465</v>
      </c>
      <c r="E33" s="2" t="s">
        <v>5466</v>
      </c>
      <c r="F33" s="2" t="s">
        <v>5467</v>
      </c>
      <c r="G33" s="2" t="s">
        <v>2</v>
      </c>
      <c r="H33" s="2" t="s">
        <v>27</v>
      </c>
      <c r="I33" s="2" t="s">
        <v>28</v>
      </c>
      <c r="J33" s="2" t="s">
        <v>2</v>
      </c>
      <c r="K33" s="2" t="s">
        <v>298</v>
      </c>
      <c r="L33" s="2" t="s">
        <v>584</v>
      </c>
      <c r="M33" s="4">
        <v>40</v>
      </c>
      <c r="N33" s="4">
        <v>0</v>
      </c>
      <c r="O33" s="4">
        <f t="shared" si="1"/>
        <v>0</v>
      </c>
      <c r="P33" s="4">
        <v>0</v>
      </c>
      <c r="Q33" s="4">
        <v>0</v>
      </c>
      <c r="R33" s="4">
        <v>0</v>
      </c>
      <c r="S33" s="4">
        <v>0</v>
      </c>
      <c r="T33" s="2" t="s">
        <v>5468</v>
      </c>
      <c r="U33" s="2" t="s">
        <v>3476</v>
      </c>
      <c r="V33" s="2" t="s">
        <v>2</v>
      </c>
      <c r="W33" s="2" t="s">
        <v>4365</v>
      </c>
    </row>
    <row r="34" spans="1:23" ht="24" customHeight="1" x14ac:dyDescent="0.3">
      <c r="A34" s="2" t="s">
        <v>120</v>
      </c>
      <c r="B34" s="11"/>
      <c r="C34" s="11"/>
      <c r="D34" s="2" t="s">
        <v>5469</v>
      </c>
      <c r="E34" s="2" t="s">
        <v>1793</v>
      </c>
      <c r="F34" s="2" t="s">
        <v>5470</v>
      </c>
      <c r="G34" s="2" t="s">
        <v>2</v>
      </c>
      <c r="H34" s="2" t="s">
        <v>27</v>
      </c>
      <c r="I34" s="2" t="s">
        <v>28</v>
      </c>
      <c r="J34" s="2" t="s">
        <v>2</v>
      </c>
      <c r="K34" s="2" t="s">
        <v>5458</v>
      </c>
      <c r="L34" s="2" t="s">
        <v>584</v>
      </c>
      <c r="M34" s="4">
        <v>46.6</v>
      </c>
      <c r="N34" s="4">
        <v>4038.9</v>
      </c>
      <c r="O34" s="4">
        <f t="shared" si="1"/>
        <v>163.5</v>
      </c>
      <c r="P34" s="4">
        <v>163.5</v>
      </c>
      <c r="Q34" s="4">
        <v>0</v>
      </c>
      <c r="R34" s="4">
        <v>0</v>
      </c>
      <c r="S34" s="4">
        <v>0</v>
      </c>
      <c r="T34" s="2" t="s">
        <v>5471</v>
      </c>
      <c r="U34" s="2" t="s">
        <v>3580</v>
      </c>
      <c r="V34" s="2" t="s">
        <v>2</v>
      </c>
      <c r="W34" s="2" t="s">
        <v>2</v>
      </c>
    </row>
    <row r="35" spans="1:23" ht="24" customHeight="1" x14ac:dyDescent="0.3">
      <c r="A35" s="2" t="s">
        <v>123</v>
      </c>
      <c r="B35" s="11"/>
      <c r="C35" s="11"/>
      <c r="D35" s="2" t="s">
        <v>1708</v>
      </c>
      <c r="E35" s="2" t="s">
        <v>5472</v>
      </c>
      <c r="F35" s="2" t="s">
        <v>4304</v>
      </c>
      <c r="G35" s="2" t="s">
        <v>2</v>
      </c>
      <c r="H35" s="2" t="s">
        <v>27</v>
      </c>
      <c r="I35" s="2" t="s">
        <v>28</v>
      </c>
      <c r="J35" s="2" t="s">
        <v>2</v>
      </c>
      <c r="K35" s="2" t="s">
        <v>195</v>
      </c>
      <c r="L35" s="2" t="s">
        <v>3545</v>
      </c>
      <c r="M35" s="4">
        <v>1660</v>
      </c>
      <c r="N35" s="4">
        <v>182629.8</v>
      </c>
      <c r="O35" s="4">
        <f t="shared" si="1"/>
        <v>219.89999999999998</v>
      </c>
      <c r="P35" s="4">
        <v>56.5</v>
      </c>
      <c r="Q35" s="4">
        <v>0</v>
      </c>
      <c r="R35" s="4">
        <v>30.3</v>
      </c>
      <c r="S35" s="4">
        <v>133.1</v>
      </c>
      <c r="T35" s="2" t="s">
        <v>1711</v>
      </c>
      <c r="U35" s="2" t="s">
        <v>3600</v>
      </c>
      <c r="V35" s="2" t="s">
        <v>2</v>
      </c>
      <c r="W35" s="2" t="s">
        <v>2</v>
      </c>
    </row>
    <row r="36" spans="1:23" ht="24" customHeight="1" x14ac:dyDescent="0.3">
      <c r="A36" s="2" t="s">
        <v>135</v>
      </c>
      <c r="B36" s="11"/>
      <c r="C36" s="11"/>
      <c r="D36" s="2" t="s">
        <v>5473</v>
      </c>
      <c r="E36" s="2" t="s">
        <v>5474</v>
      </c>
      <c r="F36" s="2" t="s">
        <v>5475</v>
      </c>
      <c r="G36" s="2" t="s">
        <v>2</v>
      </c>
      <c r="H36" s="2" t="s">
        <v>27</v>
      </c>
      <c r="I36" s="2" t="s">
        <v>28</v>
      </c>
      <c r="J36" s="2" t="s">
        <v>2</v>
      </c>
      <c r="K36" s="2" t="s">
        <v>5476</v>
      </c>
      <c r="L36" s="2" t="s">
        <v>584</v>
      </c>
      <c r="M36" s="4">
        <v>5.8</v>
      </c>
      <c r="N36" s="4">
        <v>64.900000000000006</v>
      </c>
      <c r="O36" s="4">
        <f t="shared" si="1"/>
        <v>55.3</v>
      </c>
      <c r="P36" s="4">
        <v>55.3</v>
      </c>
      <c r="Q36" s="4">
        <v>0</v>
      </c>
      <c r="R36" s="4">
        <v>0</v>
      </c>
      <c r="S36" s="4">
        <v>0</v>
      </c>
      <c r="T36" s="2" t="s">
        <v>5477</v>
      </c>
      <c r="U36" s="2" t="s">
        <v>4213</v>
      </c>
      <c r="V36" s="2" t="s">
        <v>2</v>
      </c>
      <c r="W36" s="2" t="s">
        <v>2</v>
      </c>
    </row>
    <row r="37" spans="1:23" ht="24" customHeight="1" x14ac:dyDescent="0.3">
      <c r="A37" s="2" t="s">
        <v>136</v>
      </c>
      <c r="B37" s="11"/>
      <c r="C37" s="11"/>
      <c r="D37" s="2" t="s">
        <v>4313</v>
      </c>
      <c r="E37" s="2" t="s">
        <v>1714</v>
      </c>
      <c r="F37" s="2" t="s">
        <v>1715</v>
      </c>
      <c r="G37" s="2" t="s">
        <v>2</v>
      </c>
      <c r="H37" s="2" t="s">
        <v>27</v>
      </c>
      <c r="I37" s="2" t="s">
        <v>28</v>
      </c>
      <c r="J37" s="2" t="s">
        <v>2</v>
      </c>
      <c r="K37" s="2" t="s">
        <v>299</v>
      </c>
      <c r="L37" s="2" t="s">
        <v>584</v>
      </c>
      <c r="M37" s="4">
        <v>0.8</v>
      </c>
      <c r="N37" s="4">
        <v>26.3</v>
      </c>
      <c r="O37" s="4">
        <f t="shared" si="1"/>
        <v>10</v>
      </c>
      <c r="P37" s="4">
        <v>10</v>
      </c>
      <c r="Q37" s="4">
        <v>0</v>
      </c>
      <c r="R37" s="4">
        <v>0</v>
      </c>
      <c r="S37" s="4">
        <v>0</v>
      </c>
      <c r="T37" s="2" t="s">
        <v>1716</v>
      </c>
      <c r="U37" s="2" t="s">
        <v>3411</v>
      </c>
      <c r="V37" s="2" t="s">
        <v>2</v>
      </c>
      <c r="W37" s="2" t="s">
        <v>2</v>
      </c>
    </row>
    <row r="38" spans="1:23" ht="24" customHeight="1" x14ac:dyDescent="0.3">
      <c r="A38" s="2" t="s">
        <v>137</v>
      </c>
      <c r="B38" s="11"/>
      <c r="C38" s="11"/>
      <c r="D38" s="2" t="s">
        <v>5478</v>
      </c>
      <c r="E38" s="2" t="s">
        <v>5479</v>
      </c>
      <c r="F38" s="2" t="s">
        <v>5480</v>
      </c>
      <c r="G38" s="2" t="s">
        <v>2</v>
      </c>
      <c r="H38" s="2" t="s">
        <v>27</v>
      </c>
      <c r="I38" s="2" t="s">
        <v>28</v>
      </c>
      <c r="J38" s="2" t="s">
        <v>2</v>
      </c>
      <c r="K38" s="2" t="s">
        <v>5481</v>
      </c>
      <c r="L38" s="2" t="s">
        <v>584</v>
      </c>
      <c r="M38" s="4">
        <v>1.6</v>
      </c>
      <c r="N38" s="4">
        <v>18.3</v>
      </c>
      <c r="O38" s="4">
        <f t="shared" si="1"/>
        <v>0</v>
      </c>
      <c r="P38" s="4">
        <v>0</v>
      </c>
      <c r="Q38" s="4">
        <v>0</v>
      </c>
      <c r="R38" s="4">
        <v>0</v>
      </c>
      <c r="S38" s="4">
        <v>0</v>
      </c>
      <c r="T38" s="2" t="s">
        <v>5482</v>
      </c>
      <c r="U38" s="2" t="s">
        <v>3376</v>
      </c>
      <c r="V38" s="2" t="s">
        <v>2</v>
      </c>
      <c r="W38" s="2" t="s">
        <v>2</v>
      </c>
    </row>
    <row r="39" spans="1:23" ht="24" customHeight="1" x14ac:dyDescent="0.3">
      <c r="A39" s="2" t="s">
        <v>138</v>
      </c>
      <c r="B39" s="11"/>
      <c r="C39" s="11"/>
      <c r="D39" s="2" t="s">
        <v>5483</v>
      </c>
      <c r="E39" s="2" t="s">
        <v>5484</v>
      </c>
      <c r="F39" s="2" t="s">
        <v>5485</v>
      </c>
      <c r="G39" s="2" t="s">
        <v>2</v>
      </c>
      <c r="H39" s="2" t="s">
        <v>27</v>
      </c>
      <c r="I39" s="2" t="s">
        <v>28</v>
      </c>
      <c r="J39" s="2" t="s">
        <v>2</v>
      </c>
      <c r="K39" s="2" t="s">
        <v>5486</v>
      </c>
      <c r="L39" s="2" t="s">
        <v>584</v>
      </c>
      <c r="M39" s="4">
        <v>1.1000000000000001</v>
      </c>
      <c r="N39" s="4">
        <v>12</v>
      </c>
      <c r="O39" s="4">
        <f t="shared" si="1"/>
        <v>0</v>
      </c>
      <c r="P39" s="4">
        <v>0</v>
      </c>
      <c r="Q39" s="4">
        <v>0</v>
      </c>
      <c r="R39" s="4">
        <v>0</v>
      </c>
      <c r="S39" s="4">
        <v>0</v>
      </c>
      <c r="T39" s="2" t="s">
        <v>5487</v>
      </c>
      <c r="U39" s="2" t="s">
        <v>5488</v>
      </c>
      <c r="V39" s="2" t="s">
        <v>2</v>
      </c>
      <c r="W39" s="2" t="s">
        <v>2</v>
      </c>
    </row>
    <row r="40" spans="1:23" ht="24" customHeight="1" x14ac:dyDescent="0.3">
      <c r="A40" s="2" t="s">
        <v>139</v>
      </c>
      <c r="B40" s="11"/>
      <c r="C40" s="11"/>
      <c r="D40" s="2" t="s">
        <v>3627</v>
      </c>
      <c r="E40" s="2" t="s">
        <v>5489</v>
      </c>
      <c r="F40" s="2" t="s">
        <v>5490</v>
      </c>
      <c r="G40" s="2" t="s">
        <v>2</v>
      </c>
      <c r="H40" s="2" t="s">
        <v>27</v>
      </c>
      <c r="I40" s="2" t="s">
        <v>28</v>
      </c>
      <c r="J40" s="2" t="s">
        <v>2</v>
      </c>
      <c r="K40" s="2" t="s">
        <v>5491</v>
      </c>
      <c r="L40" s="2" t="s">
        <v>584</v>
      </c>
      <c r="M40" s="4">
        <v>1.2</v>
      </c>
      <c r="N40" s="4">
        <v>44.5</v>
      </c>
      <c r="O40" s="4">
        <f t="shared" si="1"/>
        <v>0</v>
      </c>
      <c r="P40" s="4">
        <v>0</v>
      </c>
      <c r="Q40" s="4">
        <v>0</v>
      </c>
      <c r="R40" s="4">
        <v>0</v>
      </c>
      <c r="S40" s="4">
        <v>0</v>
      </c>
      <c r="T40" s="2" t="s">
        <v>5492</v>
      </c>
      <c r="U40" s="2" t="s">
        <v>4562</v>
      </c>
      <c r="V40" s="2" t="s">
        <v>2</v>
      </c>
      <c r="W40" s="2" t="s">
        <v>2</v>
      </c>
    </row>
    <row r="41" spans="1:23" ht="24" customHeight="1" x14ac:dyDescent="0.3">
      <c r="A41" s="2" t="s">
        <v>140</v>
      </c>
      <c r="B41" s="11"/>
      <c r="C41" s="11"/>
      <c r="D41" s="2" t="s">
        <v>1903</v>
      </c>
      <c r="E41" s="2" t="s">
        <v>1732</v>
      </c>
      <c r="F41" s="2" t="s">
        <v>1733</v>
      </c>
      <c r="G41" s="2" t="s">
        <v>2</v>
      </c>
      <c r="H41" s="2" t="s">
        <v>27</v>
      </c>
      <c r="I41" s="2" t="s">
        <v>28</v>
      </c>
      <c r="J41" s="2" t="s">
        <v>2</v>
      </c>
      <c r="K41" s="2" t="s">
        <v>527</v>
      </c>
      <c r="L41" s="2" t="s">
        <v>584</v>
      </c>
      <c r="M41" s="4">
        <v>47.2</v>
      </c>
      <c r="N41" s="4">
        <v>12664.6</v>
      </c>
      <c r="O41" s="4">
        <f t="shared" si="1"/>
        <v>0</v>
      </c>
      <c r="P41" s="4">
        <v>0</v>
      </c>
      <c r="Q41" s="4">
        <v>0</v>
      </c>
      <c r="R41" s="4">
        <v>0</v>
      </c>
      <c r="S41" s="4">
        <v>0</v>
      </c>
      <c r="T41" s="2" t="s">
        <v>1734</v>
      </c>
      <c r="U41" s="2" t="s">
        <v>3469</v>
      </c>
      <c r="V41" s="2" t="s">
        <v>2</v>
      </c>
      <c r="W41" s="2" t="s">
        <v>2</v>
      </c>
    </row>
    <row r="42" spans="1:23" ht="24" customHeight="1" x14ac:dyDescent="0.3">
      <c r="A42" s="2" t="s">
        <v>141</v>
      </c>
      <c r="B42" s="11"/>
      <c r="C42" s="11"/>
      <c r="D42" s="2" t="s">
        <v>1895</v>
      </c>
      <c r="E42" s="2" t="s">
        <v>1896</v>
      </c>
      <c r="F42" s="2" t="s">
        <v>5493</v>
      </c>
      <c r="G42" s="2" t="s">
        <v>2</v>
      </c>
      <c r="H42" s="2" t="s">
        <v>27</v>
      </c>
      <c r="I42" s="2" t="s">
        <v>28</v>
      </c>
      <c r="J42" s="2" t="s">
        <v>2</v>
      </c>
      <c r="K42" s="2" t="s">
        <v>5494</v>
      </c>
      <c r="L42" s="2" t="s">
        <v>584</v>
      </c>
      <c r="M42" s="4">
        <v>17</v>
      </c>
      <c r="N42" s="4">
        <v>239.5</v>
      </c>
      <c r="O42" s="4">
        <f t="shared" si="1"/>
        <v>7.1</v>
      </c>
      <c r="P42" s="4">
        <v>7.1</v>
      </c>
      <c r="Q42" s="4">
        <v>0</v>
      </c>
      <c r="R42" s="4">
        <v>0</v>
      </c>
      <c r="S42" s="4">
        <v>0</v>
      </c>
      <c r="T42" s="2" t="s">
        <v>2</v>
      </c>
      <c r="U42" s="2" t="s">
        <v>3527</v>
      </c>
      <c r="V42" s="2" t="s">
        <v>2</v>
      </c>
      <c r="W42" s="2" t="s">
        <v>1074</v>
      </c>
    </row>
    <row r="43" spans="1:23" ht="24" customHeight="1" x14ac:dyDescent="0.3">
      <c r="A43" s="2" t="s">
        <v>142</v>
      </c>
      <c r="B43" s="11"/>
      <c r="C43" s="11"/>
      <c r="D43" s="2" t="s">
        <v>5495</v>
      </c>
      <c r="E43" s="2" t="s">
        <v>5496</v>
      </c>
      <c r="F43" s="2" t="s">
        <v>5497</v>
      </c>
      <c r="G43" s="2" t="s">
        <v>2</v>
      </c>
      <c r="H43" s="2" t="s">
        <v>27</v>
      </c>
      <c r="I43" s="2" t="s">
        <v>28</v>
      </c>
      <c r="J43" s="2" t="s">
        <v>2</v>
      </c>
      <c r="K43" s="2" t="s">
        <v>5361</v>
      </c>
      <c r="L43" s="2" t="s">
        <v>584</v>
      </c>
      <c r="M43" s="4">
        <v>13.4</v>
      </c>
      <c r="N43" s="4">
        <v>5151.3</v>
      </c>
      <c r="O43" s="4">
        <f t="shared" si="1"/>
        <v>34.200000000000003</v>
      </c>
      <c r="P43" s="4">
        <v>0</v>
      </c>
      <c r="Q43" s="4">
        <v>34.200000000000003</v>
      </c>
      <c r="R43" s="4">
        <v>0</v>
      </c>
      <c r="S43" s="4">
        <v>0</v>
      </c>
      <c r="T43" s="2" t="s">
        <v>5498</v>
      </c>
      <c r="U43" s="2" t="s">
        <v>4092</v>
      </c>
      <c r="V43" s="2" t="s">
        <v>2</v>
      </c>
      <c r="W43" s="2" t="s">
        <v>2</v>
      </c>
    </row>
    <row r="44" spans="1:23" ht="24" customHeight="1" x14ac:dyDescent="0.3">
      <c r="A44" s="2" t="s">
        <v>143</v>
      </c>
      <c r="B44" s="11"/>
      <c r="C44" s="11"/>
      <c r="D44" s="2" t="s">
        <v>5499</v>
      </c>
      <c r="E44" s="2" t="s">
        <v>5500</v>
      </c>
      <c r="F44" s="2" t="s">
        <v>5501</v>
      </c>
      <c r="G44" s="2" t="s">
        <v>2</v>
      </c>
      <c r="H44" s="2" t="s">
        <v>27</v>
      </c>
      <c r="I44" s="2" t="s">
        <v>28</v>
      </c>
      <c r="J44" s="2" t="s">
        <v>2</v>
      </c>
      <c r="K44" s="2" t="s">
        <v>5502</v>
      </c>
      <c r="L44" s="2" t="s">
        <v>584</v>
      </c>
      <c r="M44" s="4">
        <v>3</v>
      </c>
      <c r="N44" s="4">
        <v>0</v>
      </c>
      <c r="O44" s="4">
        <f t="shared" si="1"/>
        <v>0</v>
      </c>
      <c r="P44" s="4">
        <v>0</v>
      </c>
      <c r="Q44" s="4">
        <v>0</v>
      </c>
      <c r="R44" s="4">
        <v>0</v>
      </c>
      <c r="S44" s="4">
        <v>0</v>
      </c>
      <c r="T44" s="2" t="s">
        <v>5503</v>
      </c>
      <c r="U44" s="2" t="s">
        <v>3469</v>
      </c>
      <c r="V44" s="2" t="s">
        <v>3480</v>
      </c>
      <c r="W44" s="2" t="s">
        <v>2</v>
      </c>
    </row>
    <row r="45" spans="1:23" ht="24" customHeight="1" x14ac:dyDescent="0.3">
      <c r="A45" s="2" t="s">
        <v>144</v>
      </c>
      <c r="B45" s="11"/>
      <c r="C45" s="11"/>
      <c r="D45" s="2" t="s">
        <v>5504</v>
      </c>
      <c r="E45" s="2" t="s">
        <v>3489</v>
      </c>
      <c r="F45" s="2" t="s">
        <v>5505</v>
      </c>
      <c r="G45" s="2" t="s">
        <v>2</v>
      </c>
      <c r="H45" s="2" t="s">
        <v>27</v>
      </c>
      <c r="I45" s="2" t="s">
        <v>28</v>
      </c>
      <c r="J45" s="2" t="s">
        <v>2</v>
      </c>
      <c r="K45" s="2" t="s">
        <v>5506</v>
      </c>
      <c r="L45" s="2" t="s">
        <v>584</v>
      </c>
      <c r="M45" s="4">
        <v>1</v>
      </c>
      <c r="N45" s="4">
        <v>3.2</v>
      </c>
      <c r="O45" s="4">
        <f t="shared" si="1"/>
        <v>3</v>
      </c>
      <c r="P45" s="4">
        <v>0</v>
      </c>
      <c r="Q45" s="4">
        <v>3</v>
      </c>
      <c r="R45" s="4">
        <v>0</v>
      </c>
      <c r="S45" s="4">
        <v>0</v>
      </c>
      <c r="T45" s="2" t="s">
        <v>5507</v>
      </c>
      <c r="U45" s="2" t="s">
        <v>3632</v>
      </c>
      <c r="V45" s="2" t="s">
        <v>2</v>
      </c>
      <c r="W45" s="2" t="s">
        <v>2</v>
      </c>
    </row>
    <row r="46" spans="1:23" ht="24" customHeight="1" x14ac:dyDescent="0.3">
      <c r="A46" s="2" t="s">
        <v>145</v>
      </c>
      <c r="B46" s="11"/>
      <c r="C46" s="11"/>
      <c r="D46" s="2" t="s">
        <v>5508</v>
      </c>
      <c r="E46" s="2" t="s">
        <v>5509</v>
      </c>
      <c r="F46" s="2" t="s">
        <v>5510</v>
      </c>
      <c r="G46" s="2" t="s">
        <v>2</v>
      </c>
      <c r="H46" s="2" t="s">
        <v>27</v>
      </c>
      <c r="I46" s="2" t="s">
        <v>28</v>
      </c>
      <c r="J46" s="2" t="s">
        <v>2</v>
      </c>
      <c r="K46" s="2" t="s">
        <v>5511</v>
      </c>
      <c r="L46" s="2" t="s">
        <v>584</v>
      </c>
      <c r="M46" s="4">
        <v>48</v>
      </c>
      <c r="N46" s="4">
        <v>5803.9</v>
      </c>
      <c r="O46" s="4">
        <f t="shared" si="1"/>
        <v>0</v>
      </c>
      <c r="P46" s="4">
        <v>0</v>
      </c>
      <c r="Q46" s="4">
        <v>0</v>
      </c>
      <c r="R46" s="4">
        <v>0</v>
      </c>
      <c r="S46" s="4">
        <v>0</v>
      </c>
      <c r="T46" s="2" t="s">
        <v>5512</v>
      </c>
      <c r="U46" s="2" t="s">
        <v>3400</v>
      </c>
      <c r="V46" s="2" t="s">
        <v>2</v>
      </c>
      <c r="W46" s="2" t="s">
        <v>2</v>
      </c>
    </row>
    <row r="47" spans="1:23" ht="24" customHeight="1" x14ac:dyDescent="0.3">
      <c r="A47" s="2" t="s">
        <v>146</v>
      </c>
      <c r="B47" s="11"/>
      <c r="C47" s="11"/>
      <c r="D47" s="2" t="s">
        <v>5513</v>
      </c>
      <c r="E47" s="2" t="s">
        <v>1851</v>
      </c>
      <c r="F47" s="2" t="s">
        <v>5514</v>
      </c>
      <c r="G47" s="2" t="s">
        <v>2</v>
      </c>
      <c r="H47" s="2" t="s">
        <v>27</v>
      </c>
      <c r="I47" s="2" t="s">
        <v>28</v>
      </c>
      <c r="J47" s="2" t="s">
        <v>2</v>
      </c>
      <c r="K47" s="2" t="s">
        <v>5511</v>
      </c>
      <c r="L47" s="2" t="s">
        <v>584</v>
      </c>
      <c r="M47" s="4">
        <v>24</v>
      </c>
      <c r="N47" s="4">
        <v>489.3</v>
      </c>
      <c r="O47" s="4">
        <f t="shared" si="1"/>
        <v>40.5</v>
      </c>
      <c r="P47" s="4">
        <v>40.5</v>
      </c>
      <c r="Q47" s="4">
        <v>0</v>
      </c>
      <c r="R47" s="4">
        <v>0</v>
      </c>
      <c r="S47" s="4">
        <v>0</v>
      </c>
      <c r="T47" s="2" t="s">
        <v>5515</v>
      </c>
      <c r="U47" s="2" t="s">
        <v>1057</v>
      </c>
      <c r="V47" s="2" t="s">
        <v>2</v>
      </c>
      <c r="W47" s="2" t="s">
        <v>2</v>
      </c>
    </row>
    <row r="48" spans="1:23" ht="24" customHeight="1" x14ac:dyDescent="0.3">
      <c r="A48" s="2" t="s">
        <v>147</v>
      </c>
      <c r="B48" s="11"/>
      <c r="C48" s="11"/>
      <c r="D48" s="2" t="s">
        <v>5516</v>
      </c>
      <c r="E48" s="2" t="s">
        <v>5517</v>
      </c>
      <c r="F48" s="2" t="s">
        <v>5518</v>
      </c>
      <c r="G48" s="2" t="s">
        <v>2</v>
      </c>
      <c r="H48" s="2" t="s">
        <v>27</v>
      </c>
      <c r="I48" s="2" t="s">
        <v>28</v>
      </c>
      <c r="J48" s="2" t="s">
        <v>2</v>
      </c>
      <c r="K48" s="2" t="s">
        <v>5519</v>
      </c>
      <c r="L48" s="2" t="s">
        <v>584</v>
      </c>
      <c r="M48" s="4">
        <v>2.4</v>
      </c>
      <c r="N48" s="4">
        <v>132.30000000000001</v>
      </c>
      <c r="O48" s="4">
        <f t="shared" si="1"/>
        <v>0</v>
      </c>
      <c r="P48" s="4">
        <v>0</v>
      </c>
      <c r="Q48" s="4">
        <v>0</v>
      </c>
      <c r="R48" s="4">
        <v>0</v>
      </c>
      <c r="S48" s="4">
        <v>0</v>
      </c>
      <c r="T48" s="2" t="s">
        <v>5520</v>
      </c>
      <c r="U48" s="2" t="s">
        <v>4084</v>
      </c>
      <c r="V48" s="2" t="s">
        <v>2</v>
      </c>
      <c r="W48" s="2" t="s">
        <v>2</v>
      </c>
    </row>
    <row r="49" spans="1:23" ht="24" customHeight="1" x14ac:dyDescent="0.3">
      <c r="A49" s="2" t="s">
        <v>148</v>
      </c>
      <c r="B49" s="11"/>
      <c r="C49" s="11"/>
      <c r="D49" s="2" t="s">
        <v>5521</v>
      </c>
      <c r="E49" s="2" t="s">
        <v>5522</v>
      </c>
      <c r="F49" s="2" t="s">
        <v>5523</v>
      </c>
      <c r="G49" s="2" t="s">
        <v>2</v>
      </c>
      <c r="H49" s="2" t="s">
        <v>27</v>
      </c>
      <c r="I49" s="2" t="s">
        <v>28</v>
      </c>
      <c r="J49" s="2" t="s">
        <v>2</v>
      </c>
      <c r="K49" s="2" t="s">
        <v>565</v>
      </c>
      <c r="L49" s="2" t="s">
        <v>584</v>
      </c>
      <c r="M49" s="4">
        <v>58</v>
      </c>
      <c r="N49" s="4">
        <v>3</v>
      </c>
      <c r="O49" s="4">
        <f t="shared" si="1"/>
        <v>2.9</v>
      </c>
      <c r="P49" s="4">
        <v>2.9</v>
      </c>
      <c r="Q49" s="4">
        <v>0</v>
      </c>
      <c r="R49" s="4">
        <v>0</v>
      </c>
      <c r="S49" s="4">
        <v>0</v>
      </c>
      <c r="T49" s="2" t="s">
        <v>5524</v>
      </c>
      <c r="U49" s="2" t="s">
        <v>3607</v>
      </c>
      <c r="V49" s="2" t="s">
        <v>2</v>
      </c>
      <c r="W49" s="2" t="s">
        <v>2</v>
      </c>
    </row>
    <row r="50" spans="1:23" ht="24" customHeight="1" x14ac:dyDescent="0.3">
      <c r="A50" s="2" t="s">
        <v>149</v>
      </c>
      <c r="B50" s="11"/>
      <c r="C50" s="11"/>
      <c r="D50" s="2" t="s">
        <v>5525</v>
      </c>
      <c r="E50" s="2" t="s">
        <v>2196</v>
      </c>
      <c r="F50" s="2" t="s">
        <v>5526</v>
      </c>
      <c r="G50" s="2" t="s">
        <v>2</v>
      </c>
      <c r="H50" s="2" t="s">
        <v>27</v>
      </c>
      <c r="I50" s="2" t="s">
        <v>28</v>
      </c>
      <c r="J50" s="2" t="s">
        <v>2</v>
      </c>
      <c r="K50" s="2" t="s">
        <v>4592</v>
      </c>
      <c r="L50" s="2" t="s">
        <v>584</v>
      </c>
      <c r="M50" s="4">
        <v>120</v>
      </c>
      <c r="N50" s="4">
        <v>42038.2</v>
      </c>
      <c r="O50" s="4">
        <f t="shared" si="1"/>
        <v>1119.2</v>
      </c>
      <c r="P50" s="4">
        <v>1119.2</v>
      </c>
      <c r="Q50" s="4">
        <v>0</v>
      </c>
      <c r="R50" s="4">
        <v>0</v>
      </c>
      <c r="S50" s="4">
        <v>0</v>
      </c>
      <c r="T50" s="2" t="s">
        <v>2198</v>
      </c>
      <c r="U50" s="2" t="s">
        <v>529</v>
      </c>
      <c r="V50" s="2" t="s">
        <v>2</v>
      </c>
      <c r="W50" s="2" t="s">
        <v>2</v>
      </c>
    </row>
    <row r="51" spans="1:23" ht="24" customHeight="1" x14ac:dyDescent="0.3">
      <c r="A51" s="2" t="s">
        <v>150</v>
      </c>
      <c r="B51" s="11"/>
      <c r="C51" s="11"/>
      <c r="D51" s="2" t="s">
        <v>5527</v>
      </c>
      <c r="E51" s="2" t="s">
        <v>5528</v>
      </c>
      <c r="F51" s="2" t="s">
        <v>5529</v>
      </c>
      <c r="G51" s="2" t="s">
        <v>2</v>
      </c>
      <c r="H51" s="2" t="s">
        <v>27</v>
      </c>
      <c r="I51" s="2" t="s">
        <v>28</v>
      </c>
      <c r="J51" s="2" t="s">
        <v>2</v>
      </c>
      <c r="K51" s="2" t="s">
        <v>5530</v>
      </c>
      <c r="L51" s="2" t="s">
        <v>584</v>
      </c>
      <c r="M51" s="4">
        <v>5.6</v>
      </c>
      <c r="N51" s="4">
        <v>0</v>
      </c>
      <c r="O51" s="4">
        <f t="shared" si="1"/>
        <v>0</v>
      </c>
      <c r="P51" s="4">
        <v>0</v>
      </c>
      <c r="Q51" s="4">
        <v>0</v>
      </c>
      <c r="R51" s="4">
        <v>0</v>
      </c>
      <c r="S51" s="4">
        <v>0</v>
      </c>
      <c r="T51" s="2" t="s">
        <v>5531</v>
      </c>
      <c r="U51" s="2" t="s">
        <v>921</v>
      </c>
      <c r="V51" s="2" t="s">
        <v>2</v>
      </c>
      <c r="W51" s="2" t="s">
        <v>510</v>
      </c>
    </row>
    <row r="52" spans="1:23" ht="24" customHeight="1" x14ac:dyDescent="0.3">
      <c r="A52" s="2" t="s">
        <v>151</v>
      </c>
      <c r="B52" s="11"/>
      <c r="C52" s="11"/>
      <c r="D52" s="2" t="s">
        <v>1767</v>
      </c>
      <c r="E52" s="2" t="s">
        <v>1768</v>
      </c>
      <c r="F52" s="2" t="s">
        <v>1769</v>
      </c>
      <c r="G52" s="2" t="s">
        <v>2</v>
      </c>
      <c r="H52" s="2" t="s">
        <v>27</v>
      </c>
      <c r="I52" s="2" t="s">
        <v>28</v>
      </c>
      <c r="J52" s="2" t="s">
        <v>2</v>
      </c>
      <c r="K52" s="2" t="s">
        <v>5458</v>
      </c>
      <c r="L52" s="2" t="s">
        <v>584</v>
      </c>
      <c r="M52" s="4">
        <v>153</v>
      </c>
      <c r="N52" s="4">
        <v>20910.900000000001</v>
      </c>
      <c r="O52" s="4">
        <f t="shared" si="1"/>
        <v>5559.1</v>
      </c>
      <c r="P52" s="4">
        <v>4967</v>
      </c>
      <c r="Q52" s="4">
        <v>592.1</v>
      </c>
      <c r="R52" s="4">
        <v>0</v>
      </c>
      <c r="S52" s="4">
        <v>0</v>
      </c>
      <c r="T52" s="2" t="s">
        <v>1770</v>
      </c>
      <c r="U52" s="2" t="s">
        <v>1100</v>
      </c>
      <c r="V52" s="2" t="s">
        <v>2</v>
      </c>
      <c r="W52" s="2" t="s">
        <v>2</v>
      </c>
    </row>
    <row r="53" spans="1:23" ht="24" customHeight="1" x14ac:dyDescent="0.3">
      <c r="A53" s="2" t="s">
        <v>152</v>
      </c>
      <c r="B53" s="11"/>
      <c r="C53" s="11"/>
      <c r="D53" s="2" t="s">
        <v>5532</v>
      </c>
      <c r="E53" s="2" t="s">
        <v>5489</v>
      </c>
      <c r="F53" s="2" t="s">
        <v>5533</v>
      </c>
      <c r="G53" s="2" t="s">
        <v>2</v>
      </c>
      <c r="H53" s="2" t="s">
        <v>27</v>
      </c>
      <c r="I53" s="2" t="s">
        <v>28</v>
      </c>
      <c r="J53" s="2" t="s">
        <v>2</v>
      </c>
      <c r="K53" s="2" t="s">
        <v>5534</v>
      </c>
      <c r="L53" s="2" t="s">
        <v>584</v>
      </c>
      <c r="M53" s="4">
        <v>1</v>
      </c>
      <c r="N53" s="4">
        <v>44.5</v>
      </c>
      <c r="O53" s="4">
        <f t="shared" si="1"/>
        <v>0</v>
      </c>
      <c r="P53" s="4">
        <v>0</v>
      </c>
      <c r="Q53" s="4">
        <v>0</v>
      </c>
      <c r="R53" s="4">
        <v>0</v>
      </c>
      <c r="S53" s="4">
        <v>0</v>
      </c>
      <c r="T53" s="2" t="s">
        <v>5492</v>
      </c>
      <c r="U53" s="2" t="s">
        <v>3625</v>
      </c>
      <c r="V53" s="2" t="s">
        <v>2</v>
      </c>
      <c r="W53" s="2" t="s">
        <v>2</v>
      </c>
    </row>
    <row r="54" spans="1:23" ht="24" customHeight="1" x14ac:dyDescent="0.3">
      <c r="A54" s="2" t="s">
        <v>153</v>
      </c>
      <c r="B54" s="11"/>
      <c r="C54" s="11"/>
      <c r="D54" s="2" t="s">
        <v>5535</v>
      </c>
      <c r="E54" s="2" t="s">
        <v>5536</v>
      </c>
      <c r="F54" s="2" t="s">
        <v>5537</v>
      </c>
      <c r="G54" s="2" t="s">
        <v>2</v>
      </c>
      <c r="H54" s="2" t="s">
        <v>27</v>
      </c>
      <c r="I54" s="2" t="s">
        <v>28</v>
      </c>
      <c r="J54" s="2" t="s">
        <v>2</v>
      </c>
      <c r="K54" s="2" t="s">
        <v>5538</v>
      </c>
      <c r="L54" s="2" t="s">
        <v>3543</v>
      </c>
      <c r="M54" s="4">
        <v>60</v>
      </c>
      <c r="N54" s="4">
        <v>8486.2000000000007</v>
      </c>
      <c r="O54" s="4">
        <f t="shared" si="1"/>
        <v>0</v>
      </c>
      <c r="P54" s="4">
        <v>0</v>
      </c>
      <c r="Q54" s="4">
        <v>0</v>
      </c>
      <c r="R54" s="4">
        <v>0</v>
      </c>
      <c r="S54" s="4">
        <v>0</v>
      </c>
      <c r="T54" s="2" t="s">
        <v>2</v>
      </c>
      <c r="U54" s="2" t="s">
        <v>978</v>
      </c>
      <c r="V54" s="2" t="s">
        <v>2</v>
      </c>
      <c r="W54" s="2" t="s">
        <v>2</v>
      </c>
    </row>
    <row r="55" spans="1:23" ht="24" customHeight="1" x14ac:dyDescent="0.3">
      <c r="A55" s="2" t="s">
        <v>155</v>
      </c>
      <c r="B55" s="11"/>
      <c r="C55" s="11"/>
      <c r="D55" s="2" t="s">
        <v>5539</v>
      </c>
      <c r="E55" s="2" t="s">
        <v>5540</v>
      </c>
      <c r="F55" s="2" t="s">
        <v>5541</v>
      </c>
      <c r="G55" s="2" t="s">
        <v>2</v>
      </c>
      <c r="H55" s="2" t="s">
        <v>27</v>
      </c>
      <c r="I55" s="2" t="s">
        <v>28</v>
      </c>
      <c r="J55" s="2" t="s">
        <v>2</v>
      </c>
      <c r="K55" s="2" t="s">
        <v>5542</v>
      </c>
      <c r="L55" s="2" t="s">
        <v>584</v>
      </c>
      <c r="M55" s="4">
        <v>4.0999999999999996</v>
      </c>
      <c r="N55" s="4">
        <v>0</v>
      </c>
      <c r="O55" s="4">
        <f t="shared" si="1"/>
        <v>0</v>
      </c>
      <c r="P55" s="4">
        <v>0</v>
      </c>
      <c r="Q55" s="4">
        <v>0</v>
      </c>
      <c r="R55" s="4">
        <v>0</v>
      </c>
      <c r="S55" s="4">
        <v>0</v>
      </c>
      <c r="T55" s="2" t="s">
        <v>5543</v>
      </c>
      <c r="U55" s="2" t="s">
        <v>644</v>
      </c>
      <c r="V55" s="2" t="s">
        <v>2</v>
      </c>
      <c r="W55" s="2" t="s">
        <v>2</v>
      </c>
    </row>
    <row r="56" spans="1:23" ht="24" customHeight="1" x14ac:dyDescent="0.3">
      <c r="A56" s="2" t="s">
        <v>362</v>
      </c>
      <c r="B56" s="11"/>
      <c r="C56" s="11"/>
      <c r="D56" s="2" t="s">
        <v>5544</v>
      </c>
      <c r="E56" s="2" t="s">
        <v>3657</v>
      </c>
      <c r="F56" s="2" t="s">
        <v>5545</v>
      </c>
      <c r="G56" s="2" t="s">
        <v>2</v>
      </c>
      <c r="H56" s="2" t="s">
        <v>27</v>
      </c>
      <c r="I56" s="2" t="s">
        <v>28</v>
      </c>
      <c r="J56" s="2" t="s">
        <v>2</v>
      </c>
      <c r="K56" s="2" t="s">
        <v>5546</v>
      </c>
      <c r="L56" s="2" t="s">
        <v>584</v>
      </c>
      <c r="M56" s="4">
        <v>4.5999999999999996</v>
      </c>
      <c r="N56" s="4">
        <v>0</v>
      </c>
      <c r="O56" s="4">
        <f t="shared" si="1"/>
        <v>0</v>
      </c>
      <c r="P56" s="4">
        <v>0</v>
      </c>
      <c r="Q56" s="4">
        <v>0</v>
      </c>
      <c r="R56" s="4">
        <v>0</v>
      </c>
      <c r="S56" s="4">
        <v>0</v>
      </c>
      <c r="T56" s="2" t="s">
        <v>5547</v>
      </c>
      <c r="U56" s="2" t="s">
        <v>4932</v>
      </c>
      <c r="V56" s="2" t="s">
        <v>2</v>
      </c>
      <c r="W56" s="2" t="s">
        <v>2</v>
      </c>
    </row>
    <row r="57" spans="1:23" ht="24" customHeight="1" x14ac:dyDescent="0.3">
      <c r="A57" s="2" t="s">
        <v>370</v>
      </c>
      <c r="B57" s="11"/>
      <c r="C57" s="11"/>
      <c r="D57" s="2" t="s">
        <v>189</v>
      </c>
      <c r="E57" s="2" t="s">
        <v>5548</v>
      </c>
      <c r="F57" s="2" t="s">
        <v>5549</v>
      </c>
      <c r="G57" s="2" t="s">
        <v>2</v>
      </c>
      <c r="H57" s="2" t="s">
        <v>27</v>
      </c>
      <c r="I57" s="2" t="s">
        <v>28</v>
      </c>
      <c r="J57" s="2" t="s">
        <v>2</v>
      </c>
      <c r="K57" s="2" t="s">
        <v>5550</v>
      </c>
      <c r="L57" s="2" t="s">
        <v>584</v>
      </c>
      <c r="M57" s="4">
        <v>63.9</v>
      </c>
      <c r="N57" s="4">
        <v>0.7</v>
      </c>
      <c r="O57" s="4">
        <f t="shared" si="1"/>
        <v>0</v>
      </c>
      <c r="P57" s="4">
        <v>0</v>
      </c>
      <c r="Q57" s="4">
        <v>0</v>
      </c>
      <c r="R57" s="4">
        <v>0</v>
      </c>
      <c r="S57" s="4">
        <v>0</v>
      </c>
      <c r="T57" s="2" t="s">
        <v>5551</v>
      </c>
      <c r="U57" s="2" t="s">
        <v>577</v>
      </c>
      <c r="V57" s="2" t="s">
        <v>2</v>
      </c>
      <c r="W57" s="2" t="s">
        <v>2</v>
      </c>
    </row>
    <row r="58" spans="1:23" ht="24" customHeight="1" x14ac:dyDescent="0.3">
      <c r="A58" s="2" t="s">
        <v>371</v>
      </c>
      <c r="B58" s="11"/>
      <c r="C58" s="11"/>
      <c r="D58" s="2" t="s">
        <v>5552</v>
      </c>
      <c r="E58" s="2" t="s">
        <v>5553</v>
      </c>
      <c r="F58" s="2" t="s">
        <v>5554</v>
      </c>
      <c r="G58" s="2" t="s">
        <v>2</v>
      </c>
      <c r="H58" s="2" t="s">
        <v>27</v>
      </c>
      <c r="I58" s="2" t="s">
        <v>28</v>
      </c>
      <c r="J58" s="2" t="s">
        <v>2</v>
      </c>
      <c r="K58" s="2" t="s">
        <v>195</v>
      </c>
      <c r="L58" s="2" t="s">
        <v>582</v>
      </c>
      <c r="M58" s="4">
        <v>6</v>
      </c>
      <c r="N58" s="4">
        <v>178.7</v>
      </c>
      <c r="O58" s="4">
        <f t="shared" si="1"/>
        <v>0</v>
      </c>
      <c r="P58" s="4">
        <v>0</v>
      </c>
      <c r="Q58" s="4">
        <v>0</v>
      </c>
      <c r="R58" s="4">
        <v>0</v>
      </c>
      <c r="S58" s="4">
        <v>0</v>
      </c>
      <c r="T58" s="2" t="s">
        <v>2</v>
      </c>
      <c r="U58" s="2" t="s">
        <v>1055</v>
      </c>
      <c r="V58" s="2" t="s">
        <v>2</v>
      </c>
      <c r="W58" s="2" t="s">
        <v>2</v>
      </c>
    </row>
    <row r="59" spans="1:23" ht="24" customHeight="1" x14ac:dyDescent="0.3">
      <c r="A59" s="2" t="s">
        <v>372</v>
      </c>
      <c r="B59" s="11"/>
      <c r="C59" s="11"/>
      <c r="D59" s="2" t="s">
        <v>5555</v>
      </c>
      <c r="E59" s="2" t="s">
        <v>4102</v>
      </c>
      <c r="F59" s="2" t="s">
        <v>5556</v>
      </c>
      <c r="G59" s="2" t="s">
        <v>2</v>
      </c>
      <c r="H59" s="2" t="s">
        <v>27</v>
      </c>
      <c r="I59" s="2" t="s">
        <v>28</v>
      </c>
      <c r="J59" s="2" t="s">
        <v>2</v>
      </c>
      <c r="K59" s="2" t="s">
        <v>5557</v>
      </c>
      <c r="L59" s="2" t="s">
        <v>584</v>
      </c>
      <c r="M59" s="4">
        <v>3.8</v>
      </c>
      <c r="N59" s="4">
        <v>11.9</v>
      </c>
      <c r="O59" s="4">
        <f t="shared" si="1"/>
        <v>10.6</v>
      </c>
      <c r="P59" s="4">
        <v>10.6</v>
      </c>
      <c r="Q59" s="4">
        <v>0</v>
      </c>
      <c r="R59" s="4">
        <v>0</v>
      </c>
      <c r="S59" s="4">
        <v>0</v>
      </c>
      <c r="T59" s="2" t="s">
        <v>5558</v>
      </c>
      <c r="U59" s="2" t="s">
        <v>3497</v>
      </c>
      <c r="V59" s="2" t="s">
        <v>2</v>
      </c>
      <c r="W59" s="2" t="s">
        <v>2</v>
      </c>
    </row>
    <row r="60" spans="1:23" ht="24" customHeight="1" x14ac:dyDescent="0.3">
      <c r="A60" s="2" t="s">
        <v>330</v>
      </c>
      <c r="B60" s="11"/>
      <c r="C60" s="11"/>
      <c r="D60" s="2" t="s">
        <v>4962</v>
      </c>
      <c r="E60" s="2" t="s">
        <v>5559</v>
      </c>
      <c r="F60" s="2" t="s">
        <v>5560</v>
      </c>
      <c r="G60" s="2" t="s">
        <v>2</v>
      </c>
      <c r="H60" s="2" t="s">
        <v>27</v>
      </c>
      <c r="I60" s="2" t="s">
        <v>28</v>
      </c>
      <c r="J60" s="2" t="s">
        <v>2</v>
      </c>
      <c r="K60" s="2" t="s">
        <v>5561</v>
      </c>
      <c r="L60" s="2" t="s">
        <v>584</v>
      </c>
      <c r="M60" s="4">
        <v>2.6</v>
      </c>
      <c r="N60" s="4">
        <v>0.7</v>
      </c>
      <c r="O60" s="4">
        <f t="shared" si="1"/>
        <v>0.5</v>
      </c>
      <c r="P60" s="4">
        <v>0.5</v>
      </c>
      <c r="Q60" s="4">
        <v>0</v>
      </c>
      <c r="R60" s="4">
        <v>0</v>
      </c>
      <c r="S60" s="4">
        <v>0</v>
      </c>
      <c r="T60" s="2" t="s">
        <v>2</v>
      </c>
      <c r="U60" s="2" t="s">
        <v>4230</v>
      </c>
      <c r="V60" s="2" t="s">
        <v>2</v>
      </c>
      <c r="W60" s="2" t="s">
        <v>510</v>
      </c>
    </row>
    <row r="61" spans="1:23" ht="24" customHeight="1" x14ac:dyDescent="0.3">
      <c r="A61" s="2" t="s">
        <v>358</v>
      </c>
      <c r="B61" s="11"/>
      <c r="C61" s="11"/>
      <c r="D61" s="2" t="s">
        <v>5562</v>
      </c>
      <c r="E61" s="2" t="s">
        <v>5563</v>
      </c>
      <c r="F61" s="2" t="s">
        <v>5564</v>
      </c>
      <c r="G61" s="2" t="s">
        <v>2</v>
      </c>
      <c r="H61" s="2" t="s">
        <v>27</v>
      </c>
      <c r="I61" s="2" t="s">
        <v>28</v>
      </c>
      <c r="J61" s="2" t="s">
        <v>2</v>
      </c>
      <c r="K61" s="2" t="s">
        <v>5565</v>
      </c>
      <c r="L61" s="2" t="s">
        <v>584</v>
      </c>
      <c r="M61" s="4">
        <v>0.4</v>
      </c>
      <c r="N61" s="4">
        <v>0</v>
      </c>
      <c r="O61" s="4">
        <f t="shared" si="1"/>
        <v>0</v>
      </c>
      <c r="P61" s="4">
        <v>0</v>
      </c>
      <c r="Q61" s="4">
        <v>0</v>
      </c>
      <c r="R61" s="4">
        <v>0</v>
      </c>
      <c r="S61" s="4">
        <v>0</v>
      </c>
      <c r="T61" s="2" t="s">
        <v>2</v>
      </c>
      <c r="U61" s="2" t="s">
        <v>1058</v>
      </c>
      <c r="V61" s="2" t="s">
        <v>2</v>
      </c>
      <c r="W61" s="2" t="s">
        <v>510</v>
      </c>
    </row>
    <row r="62" spans="1:23" ht="24" customHeight="1" x14ac:dyDescent="0.3">
      <c r="A62" s="2" t="s">
        <v>373</v>
      </c>
      <c r="B62" s="11"/>
      <c r="C62" s="11"/>
      <c r="D62" s="2" t="s">
        <v>5566</v>
      </c>
      <c r="E62" s="2" t="s">
        <v>5567</v>
      </c>
      <c r="F62" s="2" t="s">
        <v>5568</v>
      </c>
      <c r="G62" s="2" t="s">
        <v>2</v>
      </c>
      <c r="H62" s="2" t="s">
        <v>27</v>
      </c>
      <c r="I62" s="2" t="s">
        <v>28</v>
      </c>
      <c r="J62" s="2" t="s">
        <v>2</v>
      </c>
      <c r="K62" s="2" t="s">
        <v>531</v>
      </c>
      <c r="L62" s="2" t="s">
        <v>584</v>
      </c>
      <c r="M62" s="4">
        <v>1.8</v>
      </c>
      <c r="N62" s="4">
        <v>0</v>
      </c>
      <c r="O62" s="4">
        <f t="shared" si="1"/>
        <v>0</v>
      </c>
      <c r="P62" s="4">
        <v>0</v>
      </c>
      <c r="Q62" s="4">
        <v>0</v>
      </c>
      <c r="R62" s="4">
        <v>0</v>
      </c>
      <c r="S62" s="4">
        <v>0</v>
      </c>
      <c r="T62" s="2" t="s">
        <v>2</v>
      </c>
      <c r="U62" s="2" t="s">
        <v>264</v>
      </c>
      <c r="V62" s="2" t="s">
        <v>2</v>
      </c>
      <c r="W62" s="2" t="s">
        <v>2</v>
      </c>
    </row>
    <row r="63" spans="1:23" ht="24" customHeight="1" x14ac:dyDescent="0.3">
      <c r="A63" s="2" t="s">
        <v>374</v>
      </c>
      <c r="B63" s="11"/>
      <c r="C63" s="11"/>
      <c r="D63" s="2" t="s">
        <v>5569</v>
      </c>
      <c r="E63" s="2" t="s">
        <v>5570</v>
      </c>
      <c r="F63" s="2" t="s">
        <v>5571</v>
      </c>
      <c r="G63" s="2" t="s">
        <v>2</v>
      </c>
      <c r="H63" s="2" t="s">
        <v>27</v>
      </c>
      <c r="I63" s="2" t="s">
        <v>28</v>
      </c>
      <c r="J63" s="2" t="s">
        <v>2</v>
      </c>
      <c r="K63" s="2" t="s">
        <v>195</v>
      </c>
      <c r="L63" s="2" t="s">
        <v>582</v>
      </c>
      <c r="M63" s="4">
        <v>5</v>
      </c>
      <c r="N63" s="4">
        <v>588.20000000000005</v>
      </c>
      <c r="O63" s="4">
        <f t="shared" si="1"/>
        <v>18.899999999999999</v>
      </c>
      <c r="P63" s="4">
        <v>18.899999999999999</v>
      </c>
      <c r="Q63" s="4">
        <v>0</v>
      </c>
      <c r="R63" s="4">
        <v>0</v>
      </c>
      <c r="S63" s="4">
        <v>0</v>
      </c>
      <c r="T63" s="2" t="s">
        <v>2</v>
      </c>
      <c r="U63" s="2" t="s">
        <v>3397</v>
      </c>
      <c r="V63" s="2" t="s">
        <v>2</v>
      </c>
      <c r="W63" s="2" t="s">
        <v>2</v>
      </c>
    </row>
    <row r="64" spans="1:23" ht="24" customHeight="1" x14ac:dyDescent="0.3">
      <c r="A64" s="2" t="s">
        <v>375</v>
      </c>
      <c r="B64" s="11"/>
      <c r="C64" s="11"/>
      <c r="D64" s="2" t="s">
        <v>1772</v>
      </c>
      <c r="E64" s="2" t="s">
        <v>1773</v>
      </c>
      <c r="F64" s="2" t="s">
        <v>5572</v>
      </c>
      <c r="G64" s="2" t="s">
        <v>2</v>
      </c>
      <c r="H64" s="2" t="s">
        <v>27</v>
      </c>
      <c r="I64" s="2" t="s">
        <v>28</v>
      </c>
      <c r="J64" s="2" t="s">
        <v>2</v>
      </c>
      <c r="K64" s="2" t="s">
        <v>5573</v>
      </c>
      <c r="L64" s="2" t="s">
        <v>551</v>
      </c>
      <c r="M64" s="4">
        <v>32</v>
      </c>
      <c r="N64" s="4">
        <v>2957.1</v>
      </c>
      <c r="O64" s="4">
        <f t="shared" si="1"/>
        <v>0</v>
      </c>
      <c r="P64" s="4">
        <v>0</v>
      </c>
      <c r="Q64" s="4">
        <v>0</v>
      </c>
      <c r="R64" s="4">
        <v>0</v>
      </c>
      <c r="S64" s="4">
        <v>0</v>
      </c>
      <c r="T64" s="2" t="s">
        <v>1775</v>
      </c>
      <c r="U64" s="2" t="s">
        <v>3540</v>
      </c>
      <c r="V64" s="2" t="s">
        <v>2</v>
      </c>
      <c r="W64" s="2" t="s">
        <v>2</v>
      </c>
    </row>
    <row r="65" spans="1:23" ht="24" customHeight="1" x14ac:dyDescent="0.3">
      <c r="A65" s="2" t="s">
        <v>359</v>
      </c>
      <c r="B65" s="11"/>
      <c r="C65" s="11"/>
      <c r="D65" s="2" t="s">
        <v>4317</v>
      </c>
      <c r="E65" s="2" t="s">
        <v>1824</v>
      </c>
      <c r="F65" s="2" t="s">
        <v>5574</v>
      </c>
      <c r="G65" s="2" t="s">
        <v>2</v>
      </c>
      <c r="H65" s="2" t="s">
        <v>27</v>
      </c>
      <c r="I65" s="2" t="s">
        <v>28</v>
      </c>
      <c r="J65" s="2" t="s">
        <v>2</v>
      </c>
      <c r="K65" s="2" t="s">
        <v>5575</v>
      </c>
      <c r="L65" s="2" t="s">
        <v>568</v>
      </c>
      <c r="M65" s="4">
        <v>141</v>
      </c>
      <c r="N65" s="4">
        <v>19399</v>
      </c>
      <c r="O65" s="4">
        <f t="shared" si="1"/>
        <v>17085</v>
      </c>
      <c r="P65" s="4">
        <v>12696</v>
      </c>
      <c r="Q65" s="4">
        <v>4389</v>
      </c>
      <c r="R65" s="4">
        <v>0</v>
      </c>
      <c r="S65" s="4">
        <v>0</v>
      </c>
      <c r="T65" s="2" t="s">
        <v>2</v>
      </c>
      <c r="U65" s="2" t="s">
        <v>3660</v>
      </c>
      <c r="V65" s="2" t="s">
        <v>2</v>
      </c>
      <c r="W65" s="2" t="s">
        <v>510</v>
      </c>
    </row>
    <row r="66" spans="1:23" ht="24" customHeight="1" x14ac:dyDescent="0.3">
      <c r="A66" s="2" t="s">
        <v>376</v>
      </c>
      <c r="B66" s="11"/>
      <c r="C66" s="11"/>
      <c r="D66" s="2" t="s">
        <v>5576</v>
      </c>
      <c r="E66" s="2" t="s">
        <v>5577</v>
      </c>
      <c r="F66" s="2" t="s">
        <v>5578</v>
      </c>
      <c r="G66" s="2" t="s">
        <v>2</v>
      </c>
      <c r="H66" s="2" t="s">
        <v>27</v>
      </c>
      <c r="I66" s="2" t="s">
        <v>28</v>
      </c>
      <c r="J66" s="2" t="s">
        <v>2</v>
      </c>
      <c r="K66" s="2" t="s">
        <v>565</v>
      </c>
      <c r="L66" s="2" t="s">
        <v>584</v>
      </c>
      <c r="M66" s="4">
        <v>0.8</v>
      </c>
      <c r="N66" s="4">
        <v>0.1</v>
      </c>
      <c r="O66" s="4">
        <f t="shared" si="1"/>
        <v>0.3</v>
      </c>
      <c r="P66" s="4">
        <v>0.3</v>
      </c>
      <c r="Q66" s="4">
        <v>0</v>
      </c>
      <c r="R66" s="4">
        <v>0</v>
      </c>
      <c r="S66" s="4">
        <v>0</v>
      </c>
      <c r="T66" s="2" t="s">
        <v>5579</v>
      </c>
      <c r="U66" s="2" t="s">
        <v>5580</v>
      </c>
      <c r="V66" s="2" t="s">
        <v>2</v>
      </c>
      <c r="W66" s="2" t="s">
        <v>2</v>
      </c>
    </row>
    <row r="67" spans="1:23" ht="24" customHeight="1" x14ac:dyDescent="0.3">
      <c r="A67" s="2" t="s">
        <v>536</v>
      </c>
      <c r="B67" s="11"/>
      <c r="C67" s="11"/>
      <c r="D67" s="2" t="s">
        <v>5581</v>
      </c>
      <c r="E67" s="2" t="s">
        <v>5582</v>
      </c>
      <c r="F67" s="2" t="s">
        <v>5583</v>
      </c>
      <c r="G67" s="2" t="s">
        <v>2</v>
      </c>
      <c r="H67" s="2" t="s">
        <v>27</v>
      </c>
      <c r="I67" s="2" t="s">
        <v>28</v>
      </c>
      <c r="J67" s="2" t="s">
        <v>2</v>
      </c>
      <c r="K67" s="2" t="s">
        <v>5354</v>
      </c>
      <c r="L67" s="2" t="s">
        <v>584</v>
      </c>
      <c r="M67" s="4">
        <v>15</v>
      </c>
      <c r="N67" s="4">
        <v>0</v>
      </c>
      <c r="O67" s="4">
        <f t="shared" si="1"/>
        <v>0</v>
      </c>
      <c r="P67" s="4">
        <v>0</v>
      </c>
      <c r="Q67" s="4">
        <v>0</v>
      </c>
      <c r="R67" s="4">
        <v>0</v>
      </c>
      <c r="S67" s="4">
        <v>0</v>
      </c>
      <c r="T67" s="2" t="s">
        <v>5584</v>
      </c>
      <c r="U67" s="2" t="s">
        <v>3699</v>
      </c>
      <c r="V67" s="2" t="s">
        <v>2</v>
      </c>
      <c r="W67" s="2" t="s">
        <v>510</v>
      </c>
    </row>
    <row r="68" spans="1:23" ht="24" customHeight="1" x14ac:dyDescent="0.3">
      <c r="A68" s="2" t="s">
        <v>537</v>
      </c>
      <c r="B68" s="11"/>
      <c r="C68" s="11"/>
      <c r="D68" s="2" t="s">
        <v>5585</v>
      </c>
      <c r="E68" s="2" t="s">
        <v>5586</v>
      </c>
      <c r="F68" s="2" t="s">
        <v>5587</v>
      </c>
      <c r="G68" s="2" t="s">
        <v>2</v>
      </c>
      <c r="H68" s="2" t="s">
        <v>27</v>
      </c>
      <c r="I68" s="2" t="s">
        <v>28</v>
      </c>
      <c r="J68" s="2" t="s">
        <v>2</v>
      </c>
      <c r="K68" s="2" t="s">
        <v>5588</v>
      </c>
      <c r="L68" s="2" t="s">
        <v>3545</v>
      </c>
      <c r="M68" s="4">
        <v>260</v>
      </c>
      <c r="N68" s="4">
        <v>0</v>
      </c>
      <c r="O68" s="4">
        <f t="shared" si="1"/>
        <v>0</v>
      </c>
      <c r="P68" s="4">
        <v>0</v>
      </c>
      <c r="Q68" s="4">
        <v>0</v>
      </c>
      <c r="R68" s="4">
        <v>0</v>
      </c>
      <c r="S68" s="4">
        <v>0</v>
      </c>
      <c r="T68" s="2" t="s">
        <v>5589</v>
      </c>
      <c r="U68" s="2" t="s">
        <v>3658</v>
      </c>
      <c r="V68" s="2" t="s">
        <v>2</v>
      </c>
      <c r="W68" s="2" t="s">
        <v>4365</v>
      </c>
    </row>
    <row r="69" spans="1:23" ht="24" customHeight="1" x14ac:dyDescent="0.3">
      <c r="A69" s="2" t="s">
        <v>538</v>
      </c>
      <c r="B69" s="11"/>
      <c r="C69" s="11"/>
      <c r="D69" s="2" t="s">
        <v>5590</v>
      </c>
      <c r="E69" s="2" t="s">
        <v>5591</v>
      </c>
      <c r="F69" s="2" t="s">
        <v>5592</v>
      </c>
      <c r="G69" s="2" t="s">
        <v>2</v>
      </c>
      <c r="H69" s="2" t="s">
        <v>27</v>
      </c>
      <c r="I69" s="2" t="s">
        <v>28</v>
      </c>
      <c r="J69" s="2" t="s">
        <v>2</v>
      </c>
      <c r="K69" s="2" t="s">
        <v>5593</v>
      </c>
      <c r="L69" s="2" t="s">
        <v>584</v>
      </c>
      <c r="M69" s="4">
        <v>0.5</v>
      </c>
      <c r="N69" s="4">
        <v>6.3</v>
      </c>
      <c r="O69" s="4">
        <f t="shared" si="1"/>
        <v>0</v>
      </c>
      <c r="P69" s="4">
        <v>0</v>
      </c>
      <c r="Q69" s="4">
        <v>0</v>
      </c>
      <c r="R69" s="4">
        <v>0</v>
      </c>
      <c r="S69" s="4">
        <v>0</v>
      </c>
      <c r="T69" s="2" t="s">
        <v>5594</v>
      </c>
      <c r="U69" s="2" t="s">
        <v>3469</v>
      </c>
      <c r="V69" s="2" t="s">
        <v>2</v>
      </c>
      <c r="W69" s="2" t="s">
        <v>2</v>
      </c>
    </row>
    <row r="70" spans="1:23" ht="24" customHeight="1" x14ac:dyDescent="0.3">
      <c r="A70" s="2" t="s">
        <v>539</v>
      </c>
      <c r="B70" s="11"/>
      <c r="C70" s="11"/>
      <c r="D70" s="2" t="s">
        <v>5595</v>
      </c>
      <c r="E70" s="2" t="s">
        <v>5596</v>
      </c>
      <c r="F70" s="2" t="s">
        <v>5597</v>
      </c>
      <c r="G70" s="2" t="s">
        <v>2</v>
      </c>
      <c r="H70" s="2" t="s">
        <v>27</v>
      </c>
      <c r="I70" s="2" t="s">
        <v>28</v>
      </c>
      <c r="J70" s="2" t="s">
        <v>2</v>
      </c>
      <c r="K70" s="2" t="s">
        <v>5598</v>
      </c>
      <c r="L70" s="2" t="s">
        <v>584</v>
      </c>
      <c r="M70" s="4">
        <v>12</v>
      </c>
      <c r="N70" s="4">
        <v>0</v>
      </c>
      <c r="O70" s="4">
        <f t="shared" si="1"/>
        <v>0</v>
      </c>
      <c r="P70" s="4">
        <v>0</v>
      </c>
      <c r="Q70" s="4">
        <v>0</v>
      </c>
      <c r="R70" s="4">
        <v>0</v>
      </c>
      <c r="S70" s="4">
        <v>0</v>
      </c>
      <c r="T70" s="2" t="s">
        <v>5599</v>
      </c>
      <c r="U70" s="2" t="s">
        <v>968</v>
      </c>
      <c r="V70" s="2" t="s">
        <v>2</v>
      </c>
      <c r="W70" s="2" t="s">
        <v>510</v>
      </c>
    </row>
    <row r="71" spans="1:23" ht="24" customHeight="1" x14ac:dyDescent="0.3">
      <c r="A71" s="2" t="s">
        <v>540</v>
      </c>
      <c r="B71" s="11"/>
      <c r="C71" s="11"/>
      <c r="D71" s="2" t="s">
        <v>4256</v>
      </c>
      <c r="E71" s="2" t="s">
        <v>5600</v>
      </c>
      <c r="F71" s="2" t="s">
        <v>5601</v>
      </c>
      <c r="G71" s="2" t="s">
        <v>2</v>
      </c>
      <c r="H71" s="2" t="s">
        <v>27</v>
      </c>
      <c r="I71" s="2" t="s">
        <v>28</v>
      </c>
      <c r="J71" s="2" t="s">
        <v>2</v>
      </c>
      <c r="K71" s="2" t="s">
        <v>5602</v>
      </c>
      <c r="L71" s="2" t="s">
        <v>584</v>
      </c>
      <c r="M71" s="4">
        <v>2</v>
      </c>
      <c r="N71" s="4">
        <v>0</v>
      </c>
      <c r="O71" s="4">
        <f t="shared" si="1"/>
        <v>0</v>
      </c>
      <c r="P71" s="4">
        <v>0</v>
      </c>
      <c r="Q71" s="4">
        <v>0</v>
      </c>
      <c r="R71" s="4">
        <v>0</v>
      </c>
      <c r="S71" s="4">
        <v>0</v>
      </c>
      <c r="T71" s="2" t="s">
        <v>2</v>
      </c>
      <c r="U71" s="2" t="s">
        <v>4087</v>
      </c>
      <c r="V71" s="2" t="s">
        <v>2</v>
      </c>
      <c r="W71" s="2" t="s">
        <v>2</v>
      </c>
    </row>
    <row r="72" spans="1:23" ht="24" customHeight="1" x14ac:dyDescent="0.3">
      <c r="A72" s="2" t="s">
        <v>541</v>
      </c>
      <c r="B72" s="11"/>
      <c r="C72" s="11"/>
      <c r="D72" s="2" t="s">
        <v>5603</v>
      </c>
      <c r="E72" s="2" t="s">
        <v>4937</v>
      </c>
      <c r="F72" s="2" t="s">
        <v>5601</v>
      </c>
      <c r="G72" s="2" t="s">
        <v>2</v>
      </c>
      <c r="H72" s="2" t="s">
        <v>27</v>
      </c>
      <c r="I72" s="2" t="s">
        <v>28</v>
      </c>
      <c r="J72" s="2" t="s">
        <v>2</v>
      </c>
      <c r="K72" s="2" t="s">
        <v>5604</v>
      </c>
      <c r="L72" s="2" t="s">
        <v>584</v>
      </c>
      <c r="M72" s="4">
        <v>1.5</v>
      </c>
      <c r="N72" s="4">
        <v>0</v>
      </c>
      <c r="O72" s="4">
        <f t="shared" si="1"/>
        <v>0</v>
      </c>
      <c r="P72" s="4">
        <v>0</v>
      </c>
      <c r="Q72" s="4">
        <v>0</v>
      </c>
      <c r="R72" s="4">
        <v>0</v>
      </c>
      <c r="S72" s="4">
        <v>0</v>
      </c>
      <c r="T72" s="2" t="s">
        <v>2</v>
      </c>
      <c r="U72" s="2" t="s">
        <v>1007</v>
      </c>
      <c r="V72" s="2" t="s">
        <v>2</v>
      </c>
      <c r="W72" s="2" t="s">
        <v>2</v>
      </c>
    </row>
    <row r="73" spans="1:23" ht="24" customHeight="1" x14ac:dyDescent="0.3">
      <c r="A73" s="2" t="s">
        <v>542</v>
      </c>
      <c r="B73" s="11"/>
      <c r="C73" s="11"/>
      <c r="D73" s="2" t="s">
        <v>4973</v>
      </c>
      <c r="E73" s="2" t="s">
        <v>1561</v>
      </c>
      <c r="F73" s="2" t="s">
        <v>5605</v>
      </c>
      <c r="G73" s="2" t="s">
        <v>2</v>
      </c>
      <c r="H73" s="2" t="s">
        <v>27</v>
      </c>
      <c r="I73" s="2" t="s">
        <v>28</v>
      </c>
      <c r="J73" s="2" t="s">
        <v>2</v>
      </c>
      <c r="K73" s="2" t="s">
        <v>5606</v>
      </c>
      <c r="L73" s="2" t="s">
        <v>584</v>
      </c>
      <c r="M73" s="4">
        <v>12</v>
      </c>
      <c r="N73" s="4">
        <v>285.2</v>
      </c>
      <c r="O73" s="4">
        <f t="shared" si="1"/>
        <v>144.5</v>
      </c>
      <c r="P73" s="4">
        <v>144.5</v>
      </c>
      <c r="Q73" s="4">
        <v>0</v>
      </c>
      <c r="R73" s="4">
        <v>0</v>
      </c>
      <c r="S73" s="4">
        <v>0</v>
      </c>
      <c r="T73" s="2" t="s">
        <v>5607</v>
      </c>
      <c r="U73" s="2" t="s">
        <v>1002</v>
      </c>
      <c r="V73" s="2" t="s">
        <v>2</v>
      </c>
      <c r="W73" s="2" t="s">
        <v>510</v>
      </c>
    </row>
    <row r="74" spans="1:23" ht="24" customHeight="1" x14ac:dyDescent="0.3">
      <c r="A74" s="2" t="s">
        <v>544</v>
      </c>
      <c r="B74" s="11"/>
      <c r="C74" s="11"/>
      <c r="D74" s="2" t="s">
        <v>5608</v>
      </c>
      <c r="E74" s="2" t="s">
        <v>3673</v>
      </c>
      <c r="F74" s="2" t="s">
        <v>5609</v>
      </c>
      <c r="G74" s="2" t="s">
        <v>2</v>
      </c>
      <c r="H74" s="2" t="s">
        <v>27</v>
      </c>
      <c r="I74" s="2" t="s">
        <v>28</v>
      </c>
      <c r="J74" s="2" t="s">
        <v>2</v>
      </c>
      <c r="K74" s="2" t="s">
        <v>195</v>
      </c>
      <c r="L74" s="2" t="s">
        <v>582</v>
      </c>
      <c r="M74" s="4">
        <v>2</v>
      </c>
      <c r="N74" s="4">
        <v>9.6</v>
      </c>
      <c r="O74" s="4">
        <f t="shared" si="1"/>
        <v>1.3</v>
      </c>
      <c r="P74" s="4">
        <v>1.3</v>
      </c>
      <c r="Q74" s="4">
        <v>0</v>
      </c>
      <c r="R74" s="4">
        <v>0</v>
      </c>
      <c r="S74" s="4">
        <v>0</v>
      </c>
      <c r="T74" s="2" t="s">
        <v>2</v>
      </c>
      <c r="U74" s="2" t="s">
        <v>191</v>
      </c>
      <c r="V74" s="2" t="s">
        <v>2</v>
      </c>
      <c r="W74" s="2" t="s">
        <v>2</v>
      </c>
    </row>
    <row r="75" spans="1:23" ht="24" customHeight="1" x14ac:dyDescent="0.3">
      <c r="A75" s="2" t="s">
        <v>545</v>
      </c>
      <c r="B75" s="11"/>
      <c r="C75" s="11"/>
      <c r="D75" s="2" t="s">
        <v>4931</v>
      </c>
      <c r="E75" s="2" t="s">
        <v>5528</v>
      </c>
      <c r="F75" s="2" t="s">
        <v>5610</v>
      </c>
      <c r="G75" s="2" t="s">
        <v>2</v>
      </c>
      <c r="H75" s="2" t="s">
        <v>27</v>
      </c>
      <c r="I75" s="2" t="s">
        <v>28</v>
      </c>
      <c r="J75" s="2" t="s">
        <v>2</v>
      </c>
      <c r="K75" s="2" t="s">
        <v>5611</v>
      </c>
      <c r="L75" s="2" t="s">
        <v>584</v>
      </c>
      <c r="M75" s="4">
        <v>3.9</v>
      </c>
      <c r="N75" s="4">
        <v>30.9</v>
      </c>
      <c r="O75" s="4">
        <f t="shared" si="1"/>
        <v>22.1</v>
      </c>
      <c r="P75" s="4">
        <v>22.1</v>
      </c>
      <c r="Q75" s="4">
        <v>0</v>
      </c>
      <c r="R75" s="4">
        <v>0</v>
      </c>
      <c r="S75" s="4">
        <v>0</v>
      </c>
      <c r="T75" s="2" t="s">
        <v>5612</v>
      </c>
      <c r="U75" s="2" t="s">
        <v>5613</v>
      </c>
      <c r="V75" s="2" t="s">
        <v>2</v>
      </c>
      <c r="W75" s="2" t="s">
        <v>2</v>
      </c>
    </row>
    <row r="76" spans="1:23" ht="24" customHeight="1" x14ac:dyDescent="0.3">
      <c r="A76" s="2" t="s">
        <v>364</v>
      </c>
      <c r="B76" s="11"/>
      <c r="C76" s="11"/>
      <c r="D76" s="2" t="s">
        <v>1823</v>
      </c>
      <c r="E76" s="2" t="s">
        <v>3642</v>
      </c>
      <c r="F76" s="2" t="s">
        <v>5614</v>
      </c>
      <c r="G76" s="2" t="s">
        <v>2</v>
      </c>
      <c r="H76" s="2" t="s">
        <v>27</v>
      </c>
      <c r="I76" s="2" t="s">
        <v>28</v>
      </c>
      <c r="J76" s="2" t="s">
        <v>2</v>
      </c>
      <c r="K76" s="2" t="s">
        <v>5615</v>
      </c>
      <c r="L76" s="2" t="s">
        <v>584</v>
      </c>
      <c r="M76" s="4">
        <v>154</v>
      </c>
      <c r="N76" s="4">
        <v>59254.6</v>
      </c>
      <c r="O76" s="4">
        <f t="shared" si="1"/>
        <v>17775</v>
      </c>
      <c r="P76" s="4">
        <v>16977.7</v>
      </c>
      <c r="Q76" s="4">
        <v>67.599999999999994</v>
      </c>
      <c r="R76" s="4">
        <v>729.7</v>
      </c>
      <c r="S76" s="4">
        <v>0</v>
      </c>
      <c r="T76" s="2" t="s">
        <v>1826</v>
      </c>
      <c r="U76" s="2" t="s">
        <v>3486</v>
      </c>
      <c r="V76" s="2" t="s">
        <v>2</v>
      </c>
      <c r="W76" s="2" t="s">
        <v>2</v>
      </c>
    </row>
    <row r="77" spans="1:23" ht="24" customHeight="1" x14ac:dyDescent="0.3">
      <c r="A77" s="2" t="s">
        <v>546</v>
      </c>
      <c r="B77" s="11"/>
      <c r="C77" s="11"/>
      <c r="D77" s="2" t="s">
        <v>5616</v>
      </c>
      <c r="E77" s="2" t="s">
        <v>5617</v>
      </c>
      <c r="F77" s="2" t="s">
        <v>5618</v>
      </c>
      <c r="G77" s="2" t="s">
        <v>2</v>
      </c>
      <c r="H77" s="2" t="s">
        <v>27</v>
      </c>
      <c r="I77" s="2" t="s">
        <v>28</v>
      </c>
      <c r="J77" s="2" t="s">
        <v>2</v>
      </c>
      <c r="K77" s="2" t="s">
        <v>5619</v>
      </c>
      <c r="L77" s="2" t="s">
        <v>584</v>
      </c>
      <c r="M77" s="4">
        <v>0.4</v>
      </c>
      <c r="N77" s="4">
        <v>0</v>
      </c>
      <c r="O77" s="4">
        <f t="shared" si="1"/>
        <v>0</v>
      </c>
      <c r="P77" s="4">
        <v>0</v>
      </c>
      <c r="Q77" s="4">
        <v>0</v>
      </c>
      <c r="R77" s="4">
        <v>0</v>
      </c>
      <c r="S77" s="4">
        <v>0</v>
      </c>
      <c r="T77" s="2" t="s">
        <v>2</v>
      </c>
      <c r="U77" s="2" t="s">
        <v>3482</v>
      </c>
      <c r="V77" s="2" t="s">
        <v>2</v>
      </c>
      <c r="W77" s="2" t="s">
        <v>2</v>
      </c>
    </row>
    <row r="78" spans="1:23" ht="24" customHeight="1" x14ac:dyDescent="0.3">
      <c r="A78" s="2" t="s">
        <v>547</v>
      </c>
      <c r="B78" s="11"/>
      <c r="C78" s="11"/>
      <c r="D78" s="2" t="s">
        <v>5008</v>
      </c>
      <c r="E78" s="2" t="s">
        <v>3511</v>
      </c>
      <c r="F78" s="2" t="s">
        <v>5620</v>
      </c>
      <c r="G78" s="2" t="s">
        <v>2</v>
      </c>
      <c r="H78" s="2" t="s">
        <v>27</v>
      </c>
      <c r="I78" s="2" t="s">
        <v>28</v>
      </c>
      <c r="J78" s="2" t="s">
        <v>2</v>
      </c>
      <c r="K78" s="2" t="s">
        <v>565</v>
      </c>
      <c r="L78" s="2" t="s">
        <v>584</v>
      </c>
      <c r="M78" s="4">
        <v>4.7</v>
      </c>
      <c r="N78" s="4">
        <v>0</v>
      </c>
      <c r="O78" s="4">
        <f t="shared" si="1"/>
        <v>0</v>
      </c>
      <c r="P78" s="4">
        <v>0</v>
      </c>
      <c r="Q78" s="4">
        <v>0</v>
      </c>
      <c r="R78" s="4">
        <v>0</v>
      </c>
      <c r="S78" s="4">
        <v>0</v>
      </c>
      <c r="T78" s="2" t="s">
        <v>5621</v>
      </c>
      <c r="U78" s="2" t="s">
        <v>3387</v>
      </c>
      <c r="V78" s="2" t="s">
        <v>2</v>
      </c>
      <c r="W78" s="2" t="s">
        <v>510</v>
      </c>
    </row>
    <row r="79" spans="1:23" ht="24" customHeight="1" x14ac:dyDescent="0.3">
      <c r="A79" s="2" t="s">
        <v>548</v>
      </c>
      <c r="B79" s="11"/>
      <c r="C79" s="11"/>
      <c r="D79" s="2" t="s">
        <v>4297</v>
      </c>
      <c r="E79" s="2" t="s">
        <v>1860</v>
      </c>
      <c r="F79" s="2" t="s">
        <v>5622</v>
      </c>
      <c r="G79" s="2" t="s">
        <v>2</v>
      </c>
      <c r="H79" s="2" t="s">
        <v>27</v>
      </c>
      <c r="I79" s="2" t="s">
        <v>28</v>
      </c>
      <c r="J79" s="2" t="s">
        <v>2</v>
      </c>
      <c r="K79" s="2" t="s">
        <v>5623</v>
      </c>
      <c r="L79" s="2" t="s">
        <v>584</v>
      </c>
      <c r="M79" s="4">
        <v>4</v>
      </c>
      <c r="N79" s="4">
        <v>297.39999999999998</v>
      </c>
      <c r="O79" s="4">
        <f t="shared" si="1"/>
        <v>0</v>
      </c>
      <c r="P79" s="4">
        <v>0</v>
      </c>
      <c r="Q79" s="4">
        <v>0</v>
      </c>
      <c r="R79" s="4">
        <v>0</v>
      </c>
      <c r="S79" s="4">
        <v>0</v>
      </c>
      <c r="T79" s="2" t="s">
        <v>4301</v>
      </c>
      <c r="U79" s="2" t="s">
        <v>1055</v>
      </c>
      <c r="V79" s="2" t="s">
        <v>2</v>
      </c>
      <c r="W79" s="2" t="s">
        <v>2</v>
      </c>
    </row>
    <row r="80" spans="1:23" ht="24" customHeight="1" x14ac:dyDescent="0.3">
      <c r="A80" s="2" t="s">
        <v>549</v>
      </c>
      <c r="B80" s="11"/>
      <c r="C80" s="11"/>
      <c r="D80" s="2" t="s">
        <v>5624</v>
      </c>
      <c r="E80" s="2" t="s">
        <v>5625</v>
      </c>
      <c r="F80" s="2" t="s">
        <v>5626</v>
      </c>
      <c r="G80" s="2" t="s">
        <v>2</v>
      </c>
      <c r="H80" s="2" t="s">
        <v>27</v>
      </c>
      <c r="I80" s="2" t="s">
        <v>28</v>
      </c>
      <c r="J80" s="2" t="s">
        <v>2</v>
      </c>
      <c r="K80" s="2" t="s">
        <v>5627</v>
      </c>
      <c r="L80" s="2" t="s">
        <v>584</v>
      </c>
      <c r="M80" s="4">
        <v>1</v>
      </c>
      <c r="N80" s="4">
        <v>0.3</v>
      </c>
      <c r="O80" s="4">
        <f t="shared" si="1"/>
        <v>0</v>
      </c>
      <c r="P80" s="4">
        <v>0</v>
      </c>
      <c r="Q80" s="4">
        <v>0</v>
      </c>
      <c r="R80" s="4">
        <v>0</v>
      </c>
      <c r="S80" s="4">
        <v>0</v>
      </c>
      <c r="T80" s="2" t="s">
        <v>2</v>
      </c>
      <c r="U80" s="2" t="s">
        <v>3562</v>
      </c>
      <c r="V80" s="2" t="s">
        <v>2</v>
      </c>
      <c r="W80" s="2" t="s">
        <v>1074</v>
      </c>
    </row>
    <row r="81" spans="1:23" ht="24" customHeight="1" x14ac:dyDescent="0.3">
      <c r="A81" s="2" t="s">
        <v>550</v>
      </c>
      <c r="B81" s="11"/>
      <c r="C81" s="11"/>
      <c r="D81" s="2" t="s">
        <v>4332</v>
      </c>
      <c r="E81" s="2" t="s">
        <v>2128</v>
      </c>
      <c r="F81" s="2" t="s">
        <v>5628</v>
      </c>
      <c r="G81" s="2" t="s">
        <v>2</v>
      </c>
      <c r="H81" s="2" t="s">
        <v>27</v>
      </c>
      <c r="I81" s="2" t="s">
        <v>28</v>
      </c>
      <c r="J81" s="2" t="s">
        <v>2</v>
      </c>
      <c r="K81" s="2" t="s">
        <v>5629</v>
      </c>
      <c r="L81" s="2" t="s">
        <v>584</v>
      </c>
      <c r="M81" s="4">
        <v>129</v>
      </c>
      <c r="N81" s="4">
        <v>12680.2</v>
      </c>
      <c r="O81" s="4">
        <f t="shared" si="1"/>
        <v>445</v>
      </c>
      <c r="P81" s="4">
        <v>445</v>
      </c>
      <c r="Q81" s="4">
        <v>0</v>
      </c>
      <c r="R81" s="4">
        <v>0</v>
      </c>
      <c r="S81" s="4">
        <v>0</v>
      </c>
      <c r="T81" s="2" t="s">
        <v>4334</v>
      </c>
      <c r="U81" s="2" t="s">
        <v>3639</v>
      </c>
      <c r="V81" s="2" t="s">
        <v>2</v>
      </c>
      <c r="W81" s="2" t="s">
        <v>2</v>
      </c>
    </row>
    <row r="82" spans="1:23" ht="24" customHeight="1" x14ac:dyDescent="0.3">
      <c r="A82" s="2" t="s">
        <v>552</v>
      </c>
      <c r="B82" s="11"/>
      <c r="C82" s="11"/>
      <c r="D82" s="2" t="s">
        <v>2127</v>
      </c>
      <c r="E82" s="2" t="s">
        <v>2128</v>
      </c>
      <c r="F82" s="2" t="s">
        <v>4349</v>
      </c>
      <c r="G82" s="2" t="s">
        <v>2</v>
      </c>
      <c r="H82" s="2" t="s">
        <v>27</v>
      </c>
      <c r="I82" s="2" t="s">
        <v>28</v>
      </c>
      <c r="J82" s="2" t="s">
        <v>2</v>
      </c>
      <c r="K82" s="2" t="s">
        <v>531</v>
      </c>
      <c r="L82" s="2" t="s">
        <v>584</v>
      </c>
      <c r="M82" s="4">
        <v>129</v>
      </c>
      <c r="N82" s="4">
        <v>12574.1</v>
      </c>
      <c r="O82" s="4">
        <f t="shared" si="1"/>
        <v>0</v>
      </c>
      <c r="P82" s="4">
        <v>0</v>
      </c>
      <c r="Q82" s="4">
        <v>0</v>
      </c>
      <c r="R82" s="4">
        <v>0</v>
      </c>
      <c r="S82" s="4">
        <v>0</v>
      </c>
      <c r="T82" s="2" t="s">
        <v>2130</v>
      </c>
      <c r="U82" s="2" t="s">
        <v>2229</v>
      </c>
      <c r="V82" s="2" t="s">
        <v>2</v>
      </c>
      <c r="W82" s="2" t="s">
        <v>2</v>
      </c>
    </row>
    <row r="83" spans="1:23" ht="24" customHeight="1" x14ac:dyDescent="0.3">
      <c r="A83" s="2" t="s">
        <v>553</v>
      </c>
      <c r="B83" s="11"/>
      <c r="C83" s="11"/>
      <c r="D83" s="2" t="s">
        <v>5630</v>
      </c>
      <c r="E83" s="2" t="s">
        <v>5631</v>
      </c>
      <c r="F83" s="2" t="s">
        <v>5632</v>
      </c>
      <c r="G83" s="2" t="s">
        <v>2</v>
      </c>
      <c r="H83" s="2" t="s">
        <v>27</v>
      </c>
      <c r="I83" s="2" t="s">
        <v>28</v>
      </c>
      <c r="J83" s="2" t="s">
        <v>2</v>
      </c>
      <c r="K83" s="2" t="s">
        <v>5633</v>
      </c>
      <c r="L83" s="2" t="s">
        <v>584</v>
      </c>
      <c r="M83" s="4">
        <v>4.3</v>
      </c>
      <c r="N83" s="4">
        <v>2.6</v>
      </c>
      <c r="O83" s="4">
        <f t="shared" ref="O83:O146" si="2">SUM(P83:S83)</f>
        <v>3</v>
      </c>
      <c r="P83" s="4">
        <v>3</v>
      </c>
      <c r="Q83" s="4">
        <v>0</v>
      </c>
      <c r="R83" s="4">
        <v>0</v>
      </c>
      <c r="S83" s="4">
        <v>0</v>
      </c>
      <c r="T83" s="2" t="s">
        <v>2</v>
      </c>
      <c r="U83" s="2" t="s">
        <v>3537</v>
      </c>
      <c r="V83" s="2" t="s">
        <v>2</v>
      </c>
      <c r="W83" s="2" t="s">
        <v>2</v>
      </c>
    </row>
    <row r="84" spans="1:23" ht="24" customHeight="1" x14ac:dyDescent="0.3">
      <c r="A84" s="2" t="s">
        <v>554</v>
      </c>
      <c r="B84" s="11"/>
      <c r="C84" s="11"/>
      <c r="D84" s="2" t="s">
        <v>5634</v>
      </c>
      <c r="E84" s="2" t="s">
        <v>1298</v>
      </c>
      <c r="F84" s="2" t="s">
        <v>5635</v>
      </c>
      <c r="G84" s="2" t="s">
        <v>2</v>
      </c>
      <c r="H84" s="2" t="s">
        <v>27</v>
      </c>
      <c r="I84" s="2" t="s">
        <v>28</v>
      </c>
      <c r="J84" s="2" t="s">
        <v>2</v>
      </c>
      <c r="K84" s="2" t="s">
        <v>5636</v>
      </c>
      <c r="L84" s="2" t="s">
        <v>584</v>
      </c>
      <c r="M84" s="4">
        <v>11</v>
      </c>
      <c r="N84" s="4">
        <v>0</v>
      </c>
      <c r="O84" s="4">
        <f t="shared" si="2"/>
        <v>0</v>
      </c>
      <c r="P84" s="4">
        <v>0</v>
      </c>
      <c r="Q84" s="4">
        <v>0</v>
      </c>
      <c r="R84" s="4">
        <v>0</v>
      </c>
      <c r="S84" s="4">
        <v>0</v>
      </c>
      <c r="T84" s="2" t="s">
        <v>2</v>
      </c>
      <c r="U84" s="2" t="s">
        <v>741</v>
      </c>
      <c r="V84" s="2" t="s">
        <v>2</v>
      </c>
      <c r="W84" s="2" t="s">
        <v>510</v>
      </c>
    </row>
    <row r="85" spans="1:23" ht="24" customHeight="1" x14ac:dyDescent="0.3">
      <c r="A85" s="2" t="s">
        <v>646</v>
      </c>
      <c r="B85" s="11"/>
      <c r="C85" s="11"/>
      <c r="D85" s="2" t="s">
        <v>5637</v>
      </c>
      <c r="E85" s="2" t="s">
        <v>405</v>
      </c>
      <c r="F85" s="2" t="s">
        <v>5638</v>
      </c>
      <c r="G85" s="2" t="s">
        <v>2</v>
      </c>
      <c r="H85" s="2" t="s">
        <v>27</v>
      </c>
      <c r="I85" s="2" t="s">
        <v>28</v>
      </c>
      <c r="J85" s="2" t="s">
        <v>2</v>
      </c>
      <c r="K85" s="2" t="s">
        <v>5639</v>
      </c>
      <c r="L85" s="2" t="s">
        <v>584</v>
      </c>
      <c r="M85" s="4">
        <v>0.2</v>
      </c>
      <c r="N85" s="4">
        <v>0</v>
      </c>
      <c r="O85" s="4">
        <f t="shared" si="2"/>
        <v>0</v>
      </c>
      <c r="P85" s="4">
        <v>0</v>
      </c>
      <c r="Q85" s="4">
        <v>0</v>
      </c>
      <c r="R85" s="4">
        <v>0</v>
      </c>
      <c r="S85" s="4">
        <v>0</v>
      </c>
      <c r="T85" s="2" t="s">
        <v>2</v>
      </c>
      <c r="U85" s="2" t="s">
        <v>3423</v>
      </c>
      <c r="V85" s="2" t="s">
        <v>2</v>
      </c>
      <c r="W85" s="2" t="s">
        <v>2</v>
      </c>
    </row>
    <row r="86" spans="1:23" ht="24" customHeight="1" x14ac:dyDescent="0.3">
      <c r="A86" s="2" t="s">
        <v>648</v>
      </c>
      <c r="B86" s="11"/>
      <c r="C86" s="11" t="s">
        <v>60</v>
      </c>
      <c r="D86" s="2" t="s">
        <v>4578</v>
      </c>
      <c r="E86" s="2" t="s">
        <v>5640</v>
      </c>
      <c r="F86" s="2" t="s">
        <v>5641</v>
      </c>
      <c r="G86" s="2" t="s">
        <v>2</v>
      </c>
      <c r="H86" s="2" t="s">
        <v>124</v>
      </c>
      <c r="I86" s="2" t="s">
        <v>28</v>
      </c>
      <c r="J86" s="2" t="s">
        <v>2</v>
      </c>
      <c r="K86" s="2" t="s">
        <v>5642</v>
      </c>
      <c r="L86" s="2" t="s">
        <v>5643</v>
      </c>
      <c r="M86" s="4">
        <v>30</v>
      </c>
      <c r="N86" s="4">
        <v>0</v>
      </c>
      <c r="O86" s="4">
        <f t="shared" si="2"/>
        <v>336</v>
      </c>
      <c r="P86" s="4">
        <v>336</v>
      </c>
      <c r="Q86" s="4">
        <v>0</v>
      </c>
      <c r="R86" s="4">
        <v>0</v>
      </c>
      <c r="S86" s="4">
        <v>0</v>
      </c>
      <c r="T86" s="2" t="s">
        <v>5644</v>
      </c>
      <c r="U86" s="2" t="s">
        <v>5645</v>
      </c>
      <c r="V86" s="2" t="s">
        <v>2</v>
      </c>
      <c r="W86" s="2" t="s">
        <v>2</v>
      </c>
    </row>
    <row r="87" spans="1:23" ht="24" customHeight="1" x14ac:dyDescent="0.3">
      <c r="A87" s="2" t="s">
        <v>649</v>
      </c>
      <c r="B87" s="11"/>
      <c r="C87" s="11"/>
      <c r="D87" s="2" t="s">
        <v>5069</v>
      </c>
      <c r="E87" s="2" t="s">
        <v>5070</v>
      </c>
      <c r="F87" s="2" t="s">
        <v>5071</v>
      </c>
      <c r="G87" s="2" t="s">
        <v>2</v>
      </c>
      <c r="H87" s="2" t="s">
        <v>124</v>
      </c>
      <c r="I87" s="2" t="s">
        <v>28</v>
      </c>
      <c r="J87" s="2" t="s">
        <v>2</v>
      </c>
      <c r="K87" s="2" t="s">
        <v>5646</v>
      </c>
      <c r="L87" s="2" t="s">
        <v>584</v>
      </c>
      <c r="M87" s="4">
        <v>2</v>
      </c>
      <c r="N87" s="4">
        <v>0</v>
      </c>
      <c r="O87" s="4">
        <f t="shared" si="2"/>
        <v>0</v>
      </c>
      <c r="P87" s="4">
        <v>0</v>
      </c>
      <c r="Q87" s="4">
        <v>0</v>
      </c>
      <c r="R87" s="4">
        <v>0</v>
      </c>
      <c r="S87" s="4">
        <v>0</v>
      </c>
      <c r="T87" s="2" t="s">
        <v>5073</v>
      </c>
      <c r="U87" s="2" t="s">
        <v>3575</v>
      </c>
      <c r="V87" s="2" t="s">
        <v>2</v>
      </c>
      <c r="W87" s="2" t="s">
        <v>2</v>
      </c>
    </row>
    <row r="88" spans="1:23" ht="24" customHeight="1" x14ac:dyDescent="0.3">
      <c r="A88" s="2" t="s">
        <v>650</v>
      </c>
      <c r="B88" s="11"/>
      <c r="C88" s="11"/>
      <c r="D88" s="2" t="s">
        <v>5647</v>
      </c>
      <c r="E88" s="2" t="s">
        <v>5648</v>
      </c>
      <c r="F88" s="2" t="s">
        <v>5649</v>
      </c>
      <c r="G88" s="2" t="s">
        <v>2</v>
      </c>
      <c r="H88" s="2" t="s">
        <v>124</v>
      </c>
      <c r="I88" s="2" t="s">
        <v>28</v>
      </c>
      <c r="J88" s="2" t="s">
        <v>2</v>
      </c>
      <c r="K88" s="2" t="s">
        <v>5650</v>
      </c>
      <c r="L88" s="2" t="s">
        <v>501</v>
      </c>
      <c r="M88" s="4">
        <v>4</v>
      </c>
      <c r="N88" s="4">
        <v>0.1</v>
      </c>
      <c r="O88" s="4">
        <f t="shared" si="2"/>
        <v>0</v>
      </c>
      <c r="P88" s="4">
        <v>0</v>
      </c>
      <c r="Q88" s="4">
        <v>0</v>
      </c>
      <c r="R88" s="4">
        <v>0</v>
      </c>
      <c r="S88" s="4">
        <v>0</v>
      </c>
      <c r="T88" s="2" t="s">
        <v>5651</v>
      </c>
      <c r="U88" s="2" t="s">
        <v>5652</v>
      </c>
      <c r="V88" s="2" t="s">
        <v>2</v>
      </c>
      <c r="W88" s="2" t="s">
        <v>2</v>
      </c>
    </row>
    <row r="89" spans="1:23" ht="24" customHeight="1" x14ac:dyDescent="0.3">
      <c r="A89" s="2" t="s">
        <v>652</v>
      </c>
      <c r="B89" s="11"/>
      <c r="C89" s="11"/>
      <c r="D89" s="2" t="s">
        <v>5074</v>
      </c>
      <c r="E89" s="2" t="s">
        <v>5075</v>
      </c>
      <c r="F89" s="2" t="s">
        <v>5076</v>
      </c>
      <c r="G89" s="2" t="s">
        <v>2</v>
      </c>
      <c r="H89" s="2" t="s">
        <v>124</v>
      </c>
      <c r="I89" s="2" t="s">
        <v>28</v>
      </c>
      <c r="J89" s="2" t="s">
        <v>2</v>
      </c>
      <c r="K89" s="2" t="s">
        <v>5653</v>
      </c>
      <c r="L89" s="2" t="s">
        <v>4569</v>
      </c>
      <c r="M89" s="4">
        <v>25</v>
      </c>
      <c r="N89" s="4">
        <v>603.4</v>
      </c>
      <c r="O89" s="4">
        <f t="shared" si="2"/>
        <v>438.4</v>
      </c>
      <c r="P89" s="4">
        <v>415.2</v>
      </c>
      <c r="Q89" s="4">
        <v>23.2</v>
      </c>
      <c r="R89" s="4">
        <v>0</v>
      </c>
      <c r="S89" s="4">
        <v>0</v>
      </c>
      <c r="T89" s="2" t="s">
        <v>5078</v>
      </c>
      <c r="U89" s="2" t="s">
        <v>3636</v>
      </c>
      <c r="V89" s="2" t="s">
        <v>2</v>
      </c>
      <c r="W89" s="2" t="s">
        <v>4432</v>
      </c>
    </row>
    <row r="90" spans="1:23" ht="24" customHeight="1" x14ac:dyDescent="0.3">
      <c r="A90" s="2" t="s">
        <v>653</v>
      </c>
      <c r="B90" s="11"/>
      <c r="C90" s="11"/>
      <c r="D90" s="2" t="s">
        <v>2590</v>
      </c>
      <c r="E90" s="2" t="s">
        <v>2591</v>
      </c>
      <c r="F90" s="2" t="s">
        <v>5654</v>
      </c>
      <c r="G90" s="2" t="s">
        <v>2</v>
      </c>
      <c r="H90" s="2" t="s">
        <v>124</v>
      </c>
      <c r="I90" s="2" t="s">
        <v>28</v>
      </c>
      <c r="J90" s="2" t="s">
        <v>2</v>
      </c>
      <c r="K90" s="2" t="s">
        <v>5655</v>
      </c>
      <c r="L90" s="2" t="s">
        <v>4252</v>
      </c>
      <c r="M90" s="4">
        <v>1.8</v>
      </c>
      <c r="N90" s="4">
        <v>3.3</v>
      </c>
      <c r="O90" s="4">
        <f t="shared" si="2"/>
        <v>0</v>
      </c>
      <c r="P90" s="4">
        <v>0</v>
      </c>
      <c r="Q90" s="4">
        <v>0</v>
      </c>
      <c r="R90" s="4">
        <v>0</v>
      </c>
      <c r="S90" s="4">
        <v>0</v>
      </c>
      <c r="T90" s="2" t="s">
        <v>2593</v>
      </c>
      <c r="U90" s="2" t="s">
        <v>1017</v>
      </c>
      <c r="V90" s="2" t="s">
        <v>2</v>
      </c>
      <c r="W90" s="2" t="s">
        <v>2</v>
      </c>
    </row>
    <row r="91" spans="1:23" ht="24" customHeight="1" x14ac:dyDescent="0.3">
      <c r="A91" s="2" t="s">
        <v>655</v>
      </c>
      <c r="B91" s="11"/>
      <c r="C91" s="11"/>
      <c r="D91" s="2" t="s">
        <v>5656</v>
      </c>
      <c r="E91" s="2" t="s">
        <v>5657</v>
      </c>
      <c r="F91" s="2" t="s">
        <v>5658</v>
      </c>
      <c r="G91" s="2" t="s">
        <v>2</v>
      </c>
      <c r="H91" s="2" t="s">
        <v>124</v>
      </c>
      <c r="I91" s="2" t="s">
        <v>28</v>
      </c>
      <c r="J91" s="2" t="s">
        <v>2</v>
      </c>
      <c r="K91" s="2" t="s">
        <v>5659</v>
      </c>
      <c r="L91" s="2" t="s">
        <v>584</v>
      </c>
      <c r="M91" s="4">
        <v>5</v>
      </c>
      <c r="N91" s="4">
        <v>0</v>
      </c>
      <c r="O91" s="4">
        <f t="shared" si="2"/>
        <v>0</v>
      </c>
      <c r="P91" s="4">
        <v>0</v>
      </c>
      <c r="Q91" s="4">
        <v>0</v>
      </c>
      <c r="R91" s="4">
        <v>0</v>
      </c>
      <c r="S91" s="4">
        <v>0</v>
      </c>
      <c r="T91" s="2" t="s">
        <v>2</v>
      </c>
      <c r="U91" s="2" t="s">
        <v>3523</v>
      </c>
      <c r="V91" s="2" t="s">
        <v>2</v>
      </c>
      <c r="W91" s="2" t="s">
        <v>2</v>
      </c>
    </row>
    <row r="92" spans="1:23" ht="24" customHeight="1" x14ac:dyDescent="0.3">
      <c r="A92" s="2" t="s">
        <v>656</v>
      </c>
      <c r="B92" s="11"/>
      <c r="C92" s="11"/>
      <c r="D92" s="2" t="s">
        <v>5660</v>
      </c>
      <c r="E92" s="2" t="s">
        <v>5661</v>
      </c>
      <c r="F92" s="2" t="s">
        <v>5662</v>
      </c>
      <c r="G92" s="2" t="s">
        <v>2</v>
      </c>
      <c r="H92" s="2" t="s">
        <v>124</v>
      </c>
      <c r="I92" s="2" t="s">
        <v>28</v>
      </c>
      <c r="J92" s="2" t="s">
        <v>2</v>
      </c>
      <c r="K92" s="2" t="s">
        <v>5663</v>
      </c>
      <c r="L92" s="2" t="s">
        <v>584</v>
      </c>
      <c r="M92" s="4">
        <v>2</v>
      </c>
      <c r="N92" s="4">
        <v>117.3</v>
      </c>
      <c r="O92" s="4">
        <f t="shared" si="2"/>
        <v>0</v>
      </c>
      <c r="P92" s="4">
        <v>0</v>
      </c>
      <c r="Q92" s="4">
        <v>0</v>
      </c>
      <c r="R92" s="4">
        <v>0</v>
      </c>
      <c r="S92" s="4">
        <v>0</v>
      </c>
      <c r="T92" s="2" t="s">
        <v>2</v>
      </c>
      <c r="U92" s="2" t="s">
        <v>3643</v>
      </c>
      <c r="V92" s="2" t="s">
        <v>2</v>
      </c>
      <c r="W92" s="2" t="s">
        <v>2</v>
      </c>
    </row>
    <row r="93" spans="1:23" ht="24" customHeight="1" x14ac:dyDescent="0.3">
      <c r="A93" s="2" t="s">
        <v>657</v>
      </c>
      <c r="B93" s="11"/>
      <c r="C93" s="11"/>
      <c r="D93" s="2" t="s">
        <v>5664</v>
      </c>
      <c r="E93" s="2" t="s">
        <v>5665</v>
      </c>
      <c r="F93" s="2" t="s">
        <v>5666</v>
      </c>
      <c r="G93" s="2" t="s">
        <v>2</v>
      </c>
      <c r="H93" s="2" t="s">
        <v>124</v>
      </c>
      <c r="I93" s="2" t="s">
        <v>28</v>
      </c>
      <c r="J93" s="2" t="s">
        <v>2</v>
      </c>
      <c r="K93" s="2" t="s">
        <v>5667</v>
      </c>
      <c r="L93" s="2" t="s">
        <v>584</v>
      </c>
      <c r="M93" s="4">
        <v>0.1</v>
      </c>
      <c r="N93" s="4">
        <v>36</v>
      </c>
      <c r="O93" s="4">
        <f t="shared" si="2"/>
        <v>0</v>
      </c>
      <c r="P93" s="4">
        <v>0</v>
      </c>
      <c r="Q93" s="4">
        <v>0</v>
      </c>
      <c r="R93" s="4">
        <v>0</v>
      </c>
      <c r="S93" s="4">
        <v>0</v>
      </c>
      <c r="T93" s="2" t="s">
        <v>5668</v>
      </c>
      <c r="U93" s="2" t="s">
        <v>3513</v>
      </c>
      <c r="V93" s="2" t="s">
        <v>2</v>
      </c>
      <c r="W93" s="2" t="s">
        <v>2</v>
      </c>
    </row>
    <row r="94" spans="1:23" ht="24" customHeight="1" x14ac:dyDescent="0.3">
      <c r="A94" s="2" t="s">
        <v>658</v>
      </c>
      <c r="B94" s="11"/>
      <c r="C94" s="11"/>
      <c r="D94" s="2" t="s">
        <v>5669</v>
      </c>
      <c r="E94" s="2" t="s">
        <v>5670</v>
      </c>
      <c r="F94" s="2" t="s">
        <v>5671</v>
      </c>
      <c r="G94" s="2" t="s">
        <v>2</v>
      </c>
      <c r="H94" s="2" t="s">
        <v>124</v>
      </c>
      <c r="I94" s="2" t="s">
        <v>28</v>
      </c>
      <c r="J94" s="2" t="s">
        <v>2</v>
      </c>
      <c r="K94" s="2" t="s">
        <v>5672</v>
      </c>
      <c r="L94" s="2" t="s">
        <v>584</v>
      </c>
      <c r="M94" s="4">
        <v>23.2</v>
      </c>
      <c r="N94" s="4">
        <v>282.8</v>
      </c>
      <c r="O94" s="4">
        <f t="shared" si="2"/>
        <v>0</v>
      </c>
      <c r="P94" s="4">
        <v>0</v>
      </c>
      <c r="Q94" s="4">
        <v>0</v>
      </c>
      <c r="R94" s="4">
        <v>0</v>
      </c>
      <c r="S94" s="4">
        <v>0</v>
      </c>
      <c r="T94" s="2" t="s">
        <v>5673</v>
      </c>
      <c r="U94" s="2" t="s">
        <v>4589</v>
      </c>
      <c r="V94" s="2" t="s">
        <v>2</v>
      </c>
      <c r="W94" s="2" t="s">
        <v>2</v>
      </c>
    </row>
    <row r="95" spans="1:23" ht="24" customHeight="1" x14ac:dyDescent="0.3">
      <c r="A95" s="2" t="s">
        <v>659</v>
      </c>
      <c r="B95" s="11"/>
      <c r="C95" s="11"/>
      <c r="D95" s="2" t="s">
        <v>5674</v>
      </c>
      <c r="E95" s="2" t="s">
        <v>5675</v>
      </c>
      <c r="F95" s="2" t="s">
        <v>5676</v>
      </c>
      <c r="G95" s="2" t="s">
        <v>2</v>
      </c>
      <c r="H95" s="2" t="s">
        <v>124</v>
      </c>
      <c r="I95" s="2" t="s">
        <v>28</v>
      </c>
      <c r="J95" s="2" t="s">
        <v>2</v>
      </c>
      <c r="K95" s="2" t="s">
        <v>5677</v>
      </c>
      <c r="L95" s="2" t="s">
        <v>551</v>
      </c>
      <c r="M95" s="4">
        <v>161.19999999999999</v>
      </c>
      <c r="N95" s="4">
        <v>20303.7</v>
      </c>
      <c r="O95" s="4">
        <f t="shared" si="2"/>
        <v>3047.4</v>
      </c>
      <c r="P95" s="4">
        <v>3047.4</v>
      </c>
      <c r="Q95" s="4">
        <v>0</v>
      </c>
      <c r="R95" s="4">
        <v>0</v>
      </c>
      <c r="S95" s="4">
        <v>0</v>
      </c>
      <c r="T95" s="2" t="s">
        <v>5678</v>
      </c>
      <c r="U95" s="2" t="s">
        <v>3560</v>
      </c>
      <c r="V95" s="2" t="s">
        <v>2</v>
      </c>
      <c r="W95" s="2" t="s">
        <v>2</v>
      </c>
    </row>
    <row r="96" spans="1:23" ht="24" customHeight="1" x14ac:dyDescent="0.3">
      <c r="A96" s="2" t="s">
        <v>360</v>
      </c>
      <c r="B96" s="11"/>
      <c r="C96" s="11"/>
      <c r="D96" s="2" t="s">
        <v>3603</v>
      </c>
      <c r="E96" s="2" t="s">
        <v>5679</v>
      </c>
      <c r="F96" s="2" t="s">
        <v>5680</v>
      </c>
      <c r="G96" s="2" t="s">
        <v>2</v>
      </c>
      <c r="H96" s="2" t="s">
        <v>124</v>
      </c>
      <c r="I96" s="2" t="s">
        <v>28</v>
      </c>
      <c r="J96" s="2" t="s">
        <v>2</v>
      </c>
      <c r="K96" s="2" t="s">
        <v>5681</v>
      </c>
      <c r="L96" s="2" t="s">
        <v>4558</v>
      </c>
      <c r="M96" s="4">
        <v>2</v>
      </c>
      <c r="N96" s="4">
        <v>70</v>
      </c>
      <c r="O96" s="4">
        <f t="shared" si="2"/>
        <v>0</v>
      </c>
      <c r="P96" s="4">
        <v>0</v>
      </c>
      <c r="Q96" s="4">
        <v>0</v>
      </c>
      <c r="R96" s="4">
        <v>0</v>
      </c>
      <c r="S96" s="4">
        <v>0</v>
      </c>
      <c r="T96" s="2" t="s">
        <v>2</v>
      </c>
      <c r="U96" s="2" t="s">
        <v>571</v>
      </c>
      <c r="V96" s="2" t="s">
        <v>2</v>
      </c>
      <c r="W96" s="2" t="s">
        <v>2</v>
      </c>
    </row>
    <row r="97" spans="1:23" ht="24" customHeight="1" x14ac:dyDescent="0.3">
      <c r="A97" s="2" t="s">
        <v>660</v>
      </c>
      <c r="B97" s="11"/>
      <c r="C97" s="11"/>
      <c r="D97" s="2" t="s">
        <v>5682</v>
      </c>
      <c r="E97" s="2" t="s">
        <v>5683</v>
      </c>
      <c r="F97" s="2" t="s">
        <v>5684</v>
      </c>
      <c r="G97" s="2" t="s">
        <v>2</v>
      </c>
      <c r="H97" s="2" t="s">
        <v>124</v>
      </c>
      <c r="I97" s="2" t="s">
        <v>28</v>
      </c>
      <c r="J97" s="2" t="s">
        <v>2</v>
      </c>
      <c r="K97" s="2" t="s">
        <v>5685</v>
      </c>
      <c r="L97" s="2" t="s">
        <v>584</v>
      </c>
      <c r="M97" s="4">
        <v>60</v>
      </c>
      <c r="N97" s="4">
        <v>13026.9</v>
      </c>
      <c r="O97" s="4">
        <f t="shared" si="2"/>
        <v>1566</v>
      </c>
      <c r="P97" s="4">
        <v>1476.1</v>
      </c>
      <c r="Q97" s="4">
        <v>0</v>
      </c>
      <c r="R97" s="4">
        <v>0</v>
      </c>
      <c r="S97" s="4">
        <v>89.9</v>
      </c>
      <c r="T97" s="2" t="s">
        <v>5686</v>
      </c>
      <c r="U97" s="2" t="s">
        <v>4572</v>
      </c>
      <c r="V97" s="2" t="s">
        <v>2</v>
      </c>
      <c r="W97" s="2" t="s">
        <v>2</v>
      </c>
    </row>
    <row r="98" spans="1:23" ht="24" customHeight="1" x14ac:dyDescent="0.3">
      <c r="A98" s="2" t="s">
        <v>661</v>
      </c>
      <c r="B98" s="11"/>
      <c r="C98" s="11"/>
      <c r="D98" s="2" t="s">
        <v>2008</v>
      </c>
      <c r="E98" s="2" t="s">
        <v>4068</v>
      </c>
      <c r="F98" s="2" t="s">
        <v>5687</v>
      </c>
      <c r="G98" s="2" t="s">
        <v>2</v>
      </c>
      <c r="H98" s="2" t="s">
        <v>124</v>
      </c>
      <c r="I98" s="2" t="s">
        <v>28</v>
      </c>
      <c r="J98" s="2" t="s">
        <v>2</v>
      </c>
      <c r="K98" s="2" t="s">
        <v>5688</v>
      </c>
      <c r="L98" s="2" t="s">
        <v>584</v>
      </c>
      <c r="M98" s="4">
        <v>1</v>
      </c>
      <c r="N98" s="4">
        <v>140</v>
      </c>
      <c r="O98" s="4">
        <f t="shared" si="2"/>
        <v>0</v>
      </c>
      <c r="P98" s="4">
        <v>0</v>
      </c>
      <c r="Q98" s="4">
        <v>0</v>
      </c>
      <c r="R98" s="4">
        <v>0</v>
      </c>
      <c r="S98" s="4">
        <v>0</v>
      </c>
      <c r="T98" s="2" t="s">
        <v>2</v>
      </c>
      <c r="U98" s="2" t="s">
        <v>307</v>
      </c>
      <c r="V98" s="2" t="s">
        <v>2</v>
      </c>
      <c r="W98" s="2" t="s">
        <v>2</v>
      </c>
    </row>
    <row r="99" spans="1:23" ht="24" customHeight="1" x14ac:dyDescent="0.3">
      <c r="A99" s="2" t="s">
        <v>365</v>
      </c>
      <c r="B99" s="11"/>
      <c r="C99" s="11"/>
      <c r="D99" s="2" t="s">
        <v>3651</v>
      </c>
      <c r="E99" s="2" t="s">
        <v>5689</v>
      </c>
      <c r="F99" s="2" t="s">
        <v>5690</v>
      </c>
      <c r="G99" s="2" t="s">
        <v>2</v>
      </c>
      <c r="H99" s="2" t="s">
        <v>124</v>
      </c>
      <c r="I99" s="2" t="s">
        <v>28</v>
      </c>
      <c r="J99" s="2" t="s">
        <v>2</v>
      </c>
      <c r="K99" s="2" t="s">
        <v>5691</v>
      </c>
      <c r="L99" s="2" t="s">
        <v>514</v>
      </c>
      <c r="M99" s="4">
        <v>1</v>
      </c>
      <c r="N99" s="4">
        <v>244.7</v>
      </c>
      <c r="O99" s="4">
        <f t="shared" si="2"/>
        <v>0</v>
      </c>
      <c r="P99" s="4">
        <v>0</v>
      </c>
      <c r="Q99" s="4">
        <v>0</v>
      </c>
      <c r="R99" s="4">
        <v>0</v>
      </c>
      <c r="S99" s="4">
        <v>0</v>
      </c>
      <c r="T99" s="2" t="s">
        <v>5692</v>
      </c>
      <c r="U99" s="2" t="s">
        <v>4597</v>
      </c>
      <c r="V99" s="2" t="s">
        <v>2</v>
      </c>
      <c r="W99" s="2" t="s">
        <v>2</v>
      </c>
    </row>
    <row r="100" spans="1:23" ht="24" customHeight="1" x14ac:dyDescent="0.3">
      <c r="A100" s="2" t="s">
        <v>663</v>
      </c>
      <c r="B100" s="11"/>
      <c r="C100" s="11"/>
      <c r="D100" s="2" t="s">
        <v>5693</v>
      </c>
      <c r="E100" s="2" t="s">
        <v>3621</v>
      </c>
      <c r="F100" s="2" t="s">
        <v>5694</v>
      </c>
      <c r="G100" s="2" t="s">
        <v>2</v>
      </c>
      <c r="H100" s="2" t="s">
        <v>124</v>
      </c>
      <c r="I100" s="2" t="s">
        <v>28</v>
      </c>
      <c r="J100" s="2" t="s">
        <v>2</v>
      </c>
      <c r="K100" s="2" t="s">
        <v>5695</v>
      </c>
      <c r="L100" s="2" t="s">
        <v>514</v>
      </c>
      <c r="M100" s="4">
        <v>4</v>
      </c>
      <c r="N100" s="4">
        <v>823.2</v>
      </c>
      <c r="O100" s="4">
        <f t="shared" si="2"/>
        <v>802.2</v>
      </c>
      <c r="P100" s="4">
        <v>0</v>
      </c>
      <c r="Q100" s="4">
        <v>0</v>
      </c>
      <c r="R100" s="4">
        <v>0</v>
      </c>
      <c r="S100" s="4">
        <v>802.2</v>
      </c>
      <c r="T100" s="2" t="s">
        <v>5696</v>
      </c>
      <c r="U100" s="2" t="s">
        <v>3514</v>
      </c>
      <c r="V100" s="2" t="s">
        <v>2</v>
      </c>
      <c r="W100" s="2" t="s">
        <v>2</v>
      </c>
    </row>
    <row r="101" spans="1:23" ht="24" customHeight="1" x14ac:dyDescent="0.3">
      <c r="A101" s="2" t="s">
        <v>664</v>
      </c>
      <c r="B101" s="11"/>
      <c r="C101" s="11"/>
      <c r="D101" s="2" t="s">
        <v>5697</v>
      </c>
      <c r="E101" s="2" t="s">
        <v>4089</v>
      </c>
      <c r="F101" s="2" t="s">
        <v>5698</v>
      </c>
      <c r="G101" s="2" t="s">
        <v>2</v>
      </c>
      <c r="H101" s="2" t="s">
        <v>124</v>
      </c>
      <c r="I101" s="2" t="s">
        <v>28</v>
      </c>
      <c r="J101" s="2" t="s">
        <v>2</v>
      </c>
      <c r="K101" s="2" t="s">
        <v>5699</v>
      </c>
      <c r="L101" s="2" t="s">
        <v>514</v>
      </c>
      <c r="M101" s="4">
        <v>4</v>
      </c>
      <c r="N101" s="4">
        <v>107.3</v>
      </c>
      <c r="O101" s="4">
        <f t="shared" si="2"/>
        <v>0</v>
      </c>
      <c r="P101" s="4">
        <v>0</v>
      </c>
      <c r="Q101" s="4">
        <v>0</v>
      </c>
      <c r="R101" s="4">
        <v>0</v>
      </c>
      <c r="S101" s="4">
        <v>0</v>
      </c>
      <c r="T101" s="2" t="s">
        <v>2</v>
      </c>
      <c r="U101" s="2" t="s">
        <v>3499</v>
      </c>
      <c r="V101" s="2" t="s">
        <v>2</v>
      </c>
      <c r="W101" s="2" t="s">
        <v>2</v>
      </c>
    </row>
    <row r="102" spans="1:23" ht="24" customHeight="1" x14ac:dyDescent="0.3">
      <c r="A102" s="2" t="s">
        <v>665</v>
      </c>
      <c r="B102" s="11"/>
      <c r="C102" s="11"/>
      <c r="D102" s="2" t="s">
        <v>2648</v>
      </c>
      <c r="E102" s="2" t="s">
        <v>5700</v>
      </c>
      <c r="F102" s="2" t="s">
        <v>2649</v>
      </c>
      <c r="G102" s="2" t="s">
        <v>2</v>
      </c>
      <c r="H102" s="2" t="s">
        <v>124</v>
      </c>
      <c r="I102" s="2" t="s">
        <v>28</v>
      </c>
      <c r="J102" s="2" t="s">
        <v>2</v>
      </c>
      <c r="K102" s="2" t="s">
        <v>5701</v>
      </c>
      <c r="L102" s="2" t="s">
        <v>3543</v>
      </c>
      <c r="M102" s="4">
        <v>1305</v>
      </c>
      <c r="N102" s="4">
        <v>167014.70000000001</v>
      </c>
      <c r="O102" s="4">
        <f t="shared" si="2"/>
        <v>0</v>
      </c>
      <c r="P102" s="4">
        <v>0</v>
      </c>
      <c r="Q102" s="4">
        <v>0</v>
      </c>
      <c r="R102" s="4">
        <v>0</v>
      </c>
      <c r="S102" s="4">
        <v>0</v>
      </c>
      <c r="T102" s="2" t="s">
        <v>5702</v>
      </c>
      <c r="U102" s="2" t="s">
        <v>3426</v>
      </c>
      <c r="V102" s="2" t="s">
        <v>2</v>
      </c>
      <c r="W102" s="2" t="s">
        <v>2</v>
      </c>
    </row>
    <row r="103" spans="1:23" ht="24" customHeight="1" x14ac:dyDescent="0.3">
      <c r="A103" s="2" t="s">
        <v>666</v>
      </c>
      <c r="B103" s="11"/>
      <c r="C103" s="11"/>
      <c r="D103" s="2" t="s">
        <v>2652</v>
      </c>
      <c r="E103" s="2" t="s">
        <v>2653</v>
      </c>
      <c r="F103" s="2" t="s">
        <v>2654</v>
      </c>
      <c r="G103" s="2" t="s">
        <v>2</v>
      </c>
      <c r="H103" s="2" t="s">
        <v>124</v>
      </c>
      <c r="I103" s="2" t="s">
        <v>28</v>
      </c>
      <c r="J103" s="2" t="s">
        <v>2</v>
      </c>
      <c r="K103" s="2" t="s">
        <v>5703</v>
      </c>
      <c r="L103" s="2" t="s">
        <v>3545</v>
      </c>
      <c r="M103" s="4">
        <v>960</v>
      </c>
      <c r="N103" s="4">
        <v>103615</v>
      </c>
      <c r="O103" s="4">
        <f t="shared" si="2"/>
        <v>2001.1000000000001</v>
      </c>
      <c r="P103" s="4">
        <v>170.7</v>
      </c>
      <c r="Q103" s="4">
        <v>0</v>
      </c>
      <c r="R103" s="4">
        <v>0</v>
      </c>
      <c r="S103" s="4">
        <v>1830.4</v>
      </c>
      <c r="T103" s="2" t="s">
        <v>2655</v>
      </c>
      <c r="U103" s="2" t="s">
        <v>4103</v>
      </c>
      <c r="V103" s="2" t="s">
        <v>2</v>
      </c>
      <c r="W103" s="2" t="s">
        <v>2</v>
      </c>
    </row>
    <row r="104" spans="1:23" ht="24" customHeight="1" x14ac:dyDescent="0.3">
      <c r="A104" s="2" t="s">
        <v>667</v>
      </c>
      <c r="B104" s="11"/>
      <c r="C104" s="11"/>
      <c r="D104" s="2" t="s">
        <v>5704</v>
      </c>
      <c r="E104" s="2" t="s">
        <v>3993</v>
      </c>
      <c r="F104" s="2" t="s">
        <v>5111</v>
      </c>
      <c r="G104" s="2" t="s">
        <v>2</v>
      </c>
      <c r="H104" s="2" t="s">
        <v>124</v>
      </c>
      <c r="I104" s="2" t="s">
        <v>28</v>
      </c>
      <c r="J104" s="2" t="s">
        <v>2</v>
      </c>
      <c r="K104" s="2" t="s">
        <v>5705</v>
      </c>
      <c r="L104" s="2" t="s">
        <v>3545</v>
      </c>
      <c r="M104" s="4">
        <v>400</v>
      </c>
      <c r="N104" s="4">
        <v>7293</v>
      </c>
      <c r="O104" s="4">
        <f t="shared" si="2"/>
        <v>0</v>
      </c>
      <c r="P104" s="4">
        <v>0</v>
      </c>
      <c r="Q104" s="4">
        <v>0</v>
      </c>
      <c r="R104" s="4">
        <v>0</v>
      </c>
      <c r="S104" s="4">
        <v>0</v>
      </c>
      <c r="T104" s="2" t="s">
        <v>5706</v>
      </c>
      <c r="U104" s="2" t="s">
        <v>3452</v>
      </c>
      <c r="V104" s="2" t="s">
        <v>2</v>
      </c>
      <c r="W104" s="2" t="s">
        <v>2</v>
      </c>
    </row>
    <row r="105" spans="1:23" ht="24" customHeight="1" x14ac:dyDescent="0.3">
      <c r="A105" s="2" t="s">
        <v>669</v>
      </c>
      <c r="B105" s="11"/>
      <c r="C105" s="11"/>
      <c r="D105" s="2" t="s">
        <v>5707</v>
      </c>
      <c r="E105" s="2" t="s">
        <v>5708</v>
      </c>
      <c r="F105" s="2" t="s">
        <v>5709</v>
      </c>
      <c r="G105" s="2" t="s">
        <v>2</v>
      </c>
      <c r="H105" s="2" t="s">
        <v>124</v>
      </c>
      <c r="I105" s="2" t="s">
        <v>28</v>
      </c>
      <c r="J105" s="2" t="s">
        <v>2</v>
      </c>
      <c r="K105" s="2" t="s">
        <v>5710</v>
      </c>
      <c r="L105" s="2" t="s">
        <v>568</v>
      </c>
      <c r="M105" s="4">
        <v>5</v>
      </c>
      <c r="N105" s="4">
        <v>450</v>
      </c>
      <c r="O105" s="4">
        <f t="shared" si="2"/>
        <v>88.8</v>
      </c>
      <c r="P105" s="4">
        <v>0</v>
      </c>
      <c r="Q105" s="4">
        <v>0</v>
      </c>
      <c r="R105" s="4">
        <v>88.8</v>
      </c>
      <c r="S105" s="4">
        <v>0</v>
      </c>
      <c r="T105" s="2" t="s">
        <v>5711</v>
      </c>
      <c r="U105" s="2" t="s">
        <v>3417</v>
      </c>
      <c r="V105" s="2" t="s">
        <v>2</v>
      </c>
      <c r="W105" s="2" t="s">
        <v>2</v>
      </c>
    </row>
    <row r="106" spans="1:23" ht="24" customHeight="1" x14ac:dyDescent="0.3">
      <c r="A106" s="2" t="s">
        <v>670</v>
      </c>
      <c r="B106" s="11"/>
      <c r="C106" s="11"/>
      <c r="D106" s="2" t="s">
        <v>5712</v>
      </c>
      <c r="E106" s="2" t="s">
        <v>5713</v>
      </c>
      <c r="F106" s="2" t="s">
        <v>5714</v>
      </c>
      <c r="G106" s="2" t="s">
        <v>2</v>
      </c>
      <c r="H106" s="2" t="s">
        <v>124</v>
      </c>
      <c r="I106" s="2" t="s">
        <v>28</v>
      </c>
      <c r="J106" s="2" t="s">
        <v>2</v>
      </c>
      <c r="K106" s="2" t="s">
        <v>5715</v>
      </c>
      <c r="L106" s="2" t="s">
        <v>551</v>
      </c>
      <c r="M106" s="4">
        <v>480</v>
      </c>
      <c r="N106" s="4">
        <v>111260</v>
      </c>
      <c r="O106" s="4">
        <f t="shared" si="2"/>
        <v>2079.8000000000002</v>
      </c>
      <c r="P106" s="4">
        <v>2053.5</v>
      </c>
      <c r="Q106" s="4">
        <v>26.3</v>
      </c>
      <c r="R106" s="4">
        <v>0</v>
      </c>
      <c r="S106" s="4">
        <v>0</v>
      </c>
      <c r="T106" s="2" t="s">
        <v>1481</v>
      </c>
      <c r="U106" s="2" t="s">
        <v>971</v>
      </c>
      <c r="V106" s="2" t="s">
        <v>2</v>
      </c>
      <c r="W106" s="2" t="s">
        <v>2</v>
      </c>
    </row>
    <row r="107" spans="1:23" ht="24" customHeight="1" x14ac:dyDescent="0.3">
      <c r="A107" s="2" t="s">
        <v>672</v>
      </c>
      <c r="B107" s="11"/>
      <c r="C107" s="11"/>
      <c r="D107" s="2" t="s">
        <v>5716</v>
      </c>
      <c r="E107" s="2" t="s">
        <v>5717</v>
      </c>
      <c r="F107" s="2" t="s">
        <v>5718</v>
      </c>
      <c r="G107" s="2" t="s">
        <v>2</v>
      </c>
      <c r="H107" s="2" t="s">
        <v>124</v>
      </c>
      <c r="I107" s="2" t="s">
        <v>28</v>
      </c>
      <c r="J107" s="2" t="s">
        <v>2</v>
      </c>
      <c r="K107" s="2" t="s">
        <v>5719</v>
      </c>
      <c r="L107" s="2" t="s">
        <v>4252</v>
      </c>
      <c r="M107" s="4">
        <v>70</v>
      </c>
      <c r="N107" s="4">
        <v>6828.9</v>
      </c>
      <c r="O107" s="4">
        <f t="shared" si="2"/>
        <v>46.9</v>
      </c>
      <c r="P107" s="4">
        <v>46.9</v>
      </c>
      <c r="Q107" s="4">
        <v>0</v>
      </c>
      <c r="R107" s="4">
        <v>0</v>
      </c>
      <c r="S107" s="4">
        <v>0</v>
      </c>
      <c r="T107" s="2" t="s">
        <v>5720</v>
      </c>
      <c r="U107" s="2" t="s">
        <v>3446</v>
      </c>
      <c r="V107" s="2" t="s">
        <v>2</v>
      </c>
      <c r="W107" s="2" t="s">
        <v>2</v>
      </c>
    </row>
    <row r="108" spans="1:23" ht="24" customHeight="1" x14ac:dyDescent="0.3">
      <c r="A108" s="2" t="s">
        <v>673</v>
      </c>
      <c r="B108" s="11"/>
      <c r="C108" s="11"/>
      <c r="D108" s="2" t="s">
        <v>5721</v>
      </c>
      <c r="E108" s="2" t="s">
        <v>5722</v>
      </c>
      <c r="F108" s="2" t="s">
        <v>5723</v>
      </c>
      <c r="G108" s="2" t="s">
        <v>2</v>
      </c>
      <c r="H108" s="2" t="s">
        <v>124</v>
      </c>
      <c r="I108" s="2" t="s">
        <v>28</v>
      </c>
      <c r="J108" s="2" t="s">
        <v>2</v>
      </c>
      <c r="K108" s="2" t="s">
        <v>5724</v>
      </c>
      <c r="L108" s="2" t="s">
        <v>3543</v>
      </c>
      <c r="M108" s="4">
        <v>80</v>
      </c>
      <c r="N108" s="4">
        <v>11570.9</v>
      </c>
      <c r="O108" s="4">
        <f t="shared" si="2"/>
        <v>0</v>
      </c>
      <c r="P108" s="4">
        <v>0</v>
      </c>
      <c r="Q108" s="4">
        <v>0</v>
      </c>
      <c r="R108" s="4">
        <v>0</v>
      </c>
      <c r="S108" s="4">
        <v>0</v>
      </c>
      <c r="T108" s="2" t="s">
        <v>2</v>
      </c>
      <c r="U108" s="2" t="s">
        <v>4104</v>
      </c>
      <c r="V108" s="2" t="s">
        <v>2</v>
      </c>
      <c r="W108" s="2" t="s">
        <v>2</v>
      </c>
    </row>
    <row r="109" spans="1:23" ht="24" customHeight="1" x14ac:dyDescent="0.3">
      <c r="A109" s="2" t="s">
        <v>675</v>
      </c>
      <c r="B109" s="11"/>
      <c r="C109" s="11"/>
      <c r="D109" s="2" t="s">
        <v>5725</v>
      </c>
      <c r="E109" s="2" t="s">
        <v>3377</v>
      </c>
      <c r="F109" s="2" t="s">
        <v>5726</v>
      </c>
      <c r="G109" s="2" t="s">
        <v>2</v>
      </c>
      <c r="H109" s="2" t="s">
        <v>124</v>
      </c>
      <c r="I109" s="2" t="s">
        <v>28</v>
      </c>
      <c r="J109" s="2" t="s">
        <v>2</v>
      </c>
      <c r="K109" s="2" t="s">
        <v>5727</v>
      </c>
      <c r="L109" s="2" t="s">
        <v>4252</v>
      </c>
      <c r="M109" s="4">
        <v>88</v>
      </c>
      <c r="N109" s="4">
        <v>342</v>
      </c>
      <c r="O109" s="4">
        <f t="shared" si="2"/>
        <v>4.8</v>
      </c>
      <c r="P109" s="4">
        <v>4.8</v>
      </c>
      <c r="Q109" s="4">
        <v>0</v>
      </c>
      <c r="R109" s="4">
        <v>0</v>
      </c>
      <c r="S109" s="4">
        <v>0</v>
      </c>
      <c r="T109" s="2" t="s">
        <v>5728</v>
      </c>
      <c r="U109" s="2" t="s">
        <v>576</v>
      </c>
      <c r="V109" s="2" t="s">
        <v>2</v>
      </c>
      <c r="W109" s="2" t="s">
        <v>2</v>
      </c>
    </row>
    <row r="110" spans="1:23" ht="24" customHeight="1" x14ac:dyDescent="0.3">
      <c r="A110" s="2" t="s">
        <v>676</v>
      </c>
      <c r="B110" s="11"/>
      <c r="C110" s="11"/>
      <c r="D110" s="2" t="s">
        <v>5729</v>
      </c>
      <c r="E110" s="2" t="s">
        <v>5730</v>
      </c>
      <c r="F110" s="2" t="s">
        <v>5731</v>
      </c>
      <c r="G110" s="2" t="s">
        <v>2</v>
      </c>
      <c r="H110" s="2" t="s">
        <v>124</v>
      </c>
      <c r="I110" s="2" t="s">
        <v>28</v>
      </c>
      <c r="J110" s="2" t="s">
        <v>2</v>
      </c>
      <c r="K110" s="2" t="s">
        <v>5732</v>
      </c>
      <c r="L110" s="2" t="s">
        <v>584</v>
      </c>
      <c r="M110" s="4">
        <v>4.8</v>
      </c>
      <c r="N110" s="4">
        <v>0</v>
      </c>
      <c r="O110" s="4">
        <f t="shared" si="2"/>
        <v>0</v>
      </c>
      <c r="P110" s="4">
        <v>0</v>
      </c>
      <c r="Q110" s="4">
        <v>0</v>
      </c>
      <c r="R110" s="4">
        <v>0</v>
      </c>
      <c r="S110" s="4">
        <v>0</v>
      </c>
      <c r="T110" s="2" t="s">
        <v>5733</v>
      </c>
      <c r="U110" s="2" t="s">
        <v>3646</v>
      </c>
      <c r="V110" s="2" t="s">
        <v>2</v>
      </c>
      <c r="W110" s="2" t="s">
        <v>2</v>
      </c>
    </row>
    <row r="111" spans="1:23" ht="24" customHeight="1" x14ac:dyDescent="0.3">
      <c r="A111" s="2" t="s">
        <v>677</v>
      </c>
      <c r="B111" s="11"/>
      <c r="C111" s="11"/>
      <c r="D111" s="2" t="s">
        <v>2688</v>
      </c>
      <c r="E111" s="2" t="s">
        <v>2689</v>
      </c>
      <c r="F111" s="2" t="s">
        <v>5137</v>
      </c>
      <c r="G111" s="2" t="s">
        <v>2</v>
      </c>
      <c r="H111" s="2" t="s">
        <v>124</v>
      </c>
      <c r="I111" s="2" t="s">
        <v>28</v>
      </c>
      <c r="J111" s="2" t="s">
        <v>2</v>
      </c>
      <c r="K111" s="2" t="s">
        <v>5734</v>
      </c>
      <c r="L111" s="2" t="s">
        <v>584</v>
      </c>
      <c r="M111" s="4">
        <v>1</v>
      </c>
      <c r="N111" s="4">
        <v>0</v>
      </c>
      <c r="O111" s="4">
        <f t="shared" si="2"/>
        <v>0</v>
      </c>
      <c r="P111" s="4">
        <v>0</v>
      </c>
      <c r="Q111" s="4">
        <v>0</v>
      </c>
      <c r="R111" s="4">
        <v>0</v>
      </c>
      <c r="S111" s="4">
        <v>0</v>
      </c>
      <c r="T111" s="2" t="s">
        <v>2</v>
      </c>
      <c r="U111" s="2" t="s">
        <v>889</v>
      </c>
      <c r="V111" s="2" t="s">
        <v>2</v>
      </c>
      <c r="W111" s="2" t="s">
        <v>5735</v>
      </c>
    </row>
    <row r="112" spans="1:23" ht="24" customHeight="1" x14ac:dyDescent="0.3">
      <c r="A112" s="2" t="s">
        <v>678</v>
      </c>
      <c r="B112" s="11"/>
      <c r="C112" s="11"/>
      <c r="D112" s="2" t="s">
        <v>5736</v>
      </c>
      <c r="E112" s="2" t="s">
        <v>5737</v>
      </c>
      <c r="F112" s="2" t="s">
        <v>5738</v>
      </c>
      <c r="G112" s="2" t="s">
        <v>2</v>
      </c>
      <c r="H112" s="2" t="s">
        <v>124</v>
      </c>
      <c r="I112" s="2" t="s">
        <v>28</v>
      </c>
      <c r="J112" s="2" t="s">
        <v>2</v>
      </c>
      <c r="K112" s="2" t="s">
        <v>5739</v>
      </c>
      <c r="L112" s="2" t="s">
        <v>4250</v>
      </c>
      <c r="M112" s="4">
        <v>20</v>
      </c>
      <c r="N112" s="4">
        <v>6901.6</v>
      </c>
      <c r="O112" s="4">
        <f t="shared" si="2"/>
        <v>4.5</v>
      </c>
      <c r="P112" s="4">
        <v>4.5</v>
      </c>
      <c r="Q112" s="4">
        <v>0</v>
      </c>
      <c r="R112" s="4">
        <v>0</v>
      </c>
      <c r="S112" s="4">
        <v>0</v>
      </c>
      <c r="T112" s="2" t="s">
        <v>5740</v>
      </c>
      <c r="U112" s="2" t="s">
        <v>5741</v>
      </c>
      <c r="V112" s="2" t="s">
        <v>2</v>
      </c>
      <c r="W112" s="2" t="s">
        <v>2</v>
      </c>
    </row>
    <row r="113" spans="1:23" ht="24" customHeight="1" x14ac:dyDescent="0.3">
      <c r="A113" s="2" t="s">
        <v>679</v>
      </c>
      <c r="B113" s="11"/>
      <c r="C113" s="11"/>
      <c r="D113" s="2" t="s">
        <v>5742</v>
      </c>
      <c r="E113" s="2" t="s">
        <v>5743</v>
      </c>
      <c r="F113" s="2" t="s">
        <v>5744</v>
      </c>
      <c r="G113" s="2" t="s">
        <v>2</v>
      </c>
      <c r="H113" s="2" t="s">
        <v>124</v>
      </c>
      <c r="I113" s="2" t="s">
        <v>28</v>
      </c>
      <c r="J113" s="2" t="s">
        <v>2</v>
      </c>
      <c r="K113" s="2" t="s">
        <v>5745</v>
      </c>
      <c r="L113" s="2" t="s">
        <v>3543</v>
      </c>
      <c r="M113" s="4">
        <v>600</v>
      </c>
      <c r="N113" s="4">
        <v>82488.100000000006</v>
      </c>
      <c r="O113" s="4">
        <f t="shared" si="2"/>
        <v>0</v>
      </c>
      <c r="P113" s="4">
        <v>0</v>
      </c>
      <c r="Q113" s="4">
        <v>0</v>
      </c>
      <c r="R113" s="4">
        <v>0</v>
      </c>
      <c r="S113" s="4">
        <v>0</v>
      </c>
      <c r="T113" s="2" t="s">
        <v>5746</v>
      </c>
      <c r="U113" s="2" t="s">
        <v>4091</v>
      </c>
      <c r="V113" s="2" t="s">
        <v>2</v>
      </c>
      <c r="W113" s="2" t="s">
        <v>2</v>
      </c>
    </row>
    <row r="114" spans="1:23" ht="24" customHeight="1" x14ac:dyDescent="0.3">
      <c r="A114" s="2" t="s">
        <v>680</v>
      </c>
      <c r="B114" s="11"/>
      <c r="C114" s="11"/>
      <c r="D114" s="2" t="s">
        <v>4936</v>
      </c>
      <c r="E114" s="2" t="s">
        <v>5747</v>
      </c>
      <c r="F114" s="2" t="s">
        <v>5748</v>
      </c>
      <c r="G114" s="2" t="s">
        <v>2</v>
      </c>
      <c r="H114" s="2" t="s">
        <v>124</v>
      </c>
      <c r="I114" s="2" t="s">
        <v>28</v>
      </c>
      <c r="J114" s="2" t="s">
        <v>2</v>
      </c>
      <c r="K114" s="2" t="s">
        <v>5749</v>
      </c>
      <c r="L114" s="2" t="s">
        <v>584</v>
      </c>
      <c r="M114" s="4">
        <v>4</v>
      </c>
      <c r="N114" s="4">
        <v>523.1</v>
      </c>
      <c r="O114" s="4">
        <f t="shared" si="2"/>
        <v>0</v>
      </c>
      <c r="P114" s="4">
        <v>0</v>
      </c>
      <c r="Q114" s="4">
        <v>0</v>
      </c>
      <c r="R114" s="4">
        <v>0</v>
      </c>
      <c r="S114" s="4">
        <v>0</v>
      </c>
      <c r="T114" s="2" t="s">
        <v>2</v>
      </c>
      <c r="U114" s="2" t="s">
        <v>580</v>
      </c>
      <c r="V114" s="2" t="s">
        <v>2</v>
      </c>
      <c r="W114" s="2" t="s">
        <v>2</v>
      </c>
    </row>
    <row r="115" spans="1:23" ht="24" customHeight="1" x14ac:dyDescent="0.3">
      <c r="A115" s="2" t="s">
        <v>682</v>
      </c>
      <c r="B115" s="11"/>
      <c r="C115" s="11"/>
      <c r="D115" s="2" t="s">
        <v>2680</v>
      </c>
      <c r="E115" s="2" t="s">
        <v>589</v>
      </c>
      <c r="F115" s="2" t="s">
        <v>2681</v>
      </c>
      <c r="G115" s="2" t="s">
        <v>2</v>
      </c>
      <c r="H115" s="2" t="s">
        <v>124</v>
      </c>
      <c r="I115" s="2" t="s">
        <v>28</v>
      </c>
      <c r="J115" s="2" t="s">
        <v>2</v>
      </c>
      <c r="K115" s="2" t="s">
        <v>5750</v>
      </c>
      <c r="L115" s="2" t="s">
        <v>4252</v>
      </c>
      <c r="M115" s="4">
        <v>28</v>
      </c>
      <c r="N115" s="4">
        <v>1085.5999999999999</v>
      </c>
      <c r="O115" s="4">
        <f t="shared" si="2"/>
        <v>0</v>
      </c>
      <c r="P115" s="4">
        <v>0</v>
      </c>
      <c r="Q115" s="4">
        <v>0</v>
      </c>
      <c r="R115" s="4">
        <v>0</v>
      </c>
      <c r="S115" s="4">
        <v>0</v>
      </c>
      <c r="T115" s="2" t="s">
        <v>2682</v>
      </c>
      <c r="U115" s="2" t="s">
        <v>3629</v>
      </c>
      <c r="V115" s="2" t="s">
        <v>2</v>
      </c>
      <c r="W115" s="2" t="s">
        <v>2</v>
      </c>
    </row>
    <row r="116" spans="1:23" ht="24" customHeight="1" x14ac:dyDescent="0.3">
      <c r="A116" s="2" t="s">
        <v>683</v>
      </c>
      <c r="B116" s="11"/>
      <c r="C116" s="11"/>
      <c r="D116" s="2" t="s">
        <v>5751</v>
      </c>
      <c r="E116" s="2" t="s">
        <v>5752</v>
      </c>
      <c r="F116" s="2" t="s">
        <v>5753</v>
      </c>
      <c r="G116" s="2" t="s">
        <v>2</v>
      </c>
      <c r="H116" s="2" t="s">
        <v>124</v>
      </c>
      <c r="I116" s="2" t="s">
        <v>28</v>
      </c>
      <c r="J116" s="2" t="s">
        <v>2</v>
      </c>
      <c r="K116" s="2" t="s">
        <v>5754</v>
      </c>
      <c r="L116" s="2" t="s">
        <v>584</v>
      </c>
      <c r="M116" s="4">
        <v>10</v>
      </c>
      <c r="N116" s="4">
        <v>756.1</v>
      </c>
      <c r="O116" s="4">
        <f t="shared" si="2"/>
        <v>20.100000000000001</v>
      </c>
      <c r="P116" s="4">
        <v>0</v>
      </c>
      <c r="Q116" s="4">
        <v>20.100000000000001</v>
      </c>
      <c r="R116" s="4">
        <v>0</v>
      </c>
      <c r="S116" s="4">
        <v>0</v>
      </c>
      <c r="T116" s="2" t="s">
        <v>2</v>
      </c>
      <c r="U116" s="2" t="s">
        <v>3548</v>
      </c>
      <c r="V116" s="2" t="s">
        <v>2</v>
      </c>
      <c r="W116" s="2" t="s">
        <v>2</v>
      </c>
    </row>
    <row r="117" spans="1:23" ht="24" customHeight="1" x14ac:dyDescent="0.3">
      <c r="A117" s="2" t="s">
        <v>685</v>
      </c>
      <c r="B117" s="11"/>
      <c r="C117" s="11"/>
      <c r="D117" s="2" t="s">
        <v>5755</v>
      </c>
      <c r="E117" s="2" t="s">
        <v>5756</v>
      </c>
      <c r="F117" s="2" t="s">
        <v>5757</v>
      </c>
      <c r="G117" s="2" t="s">
        <v>2</v>
      </c>
      <c r="H117" s="2" t="s">
        <v>124</v>
      </c>
      <c r="I117" s="2" t="s">
        <v>28</v>
      </c>
      <c r="J117" s="2" t="s">
        <v>2</v>
      </c>
      <c r="K117" s="2" t="s">
        <v>5758</v>
      </c>
      <c r="L117" s="2" t="s">
        <v>4252</v>
      </c>
      <c r="M117" s="4">
        <v>12</v>
      </c>
      <c r="N117" s="4">
        <v>252.6</v>
      </c>
      <c r="O117" s="4">
        <f t="shared" si="2"/>
        <v>4442</v>
      </c>
      <c r="P117" s="4">
        <v>4442</v>
      </c>
      <c r="Q117" s="4">
        <v>0</v>
      </c>
      <c r="R117" s="4">
        <v>0</v>
      </c>
      <c r="S117" s="4">
        <v>0</v>
      </c>
      <c r="T117" s="2" t="s">
        <v>5759</v>
      </c>
      <c r="U117" s="2" t="s">
        <v>130</v>
      </c>
      <c r="V117" s="2" t="s">
        <v>2</v>
      </c>
      <c r="W117" s="2" t="s">
        <v>5760</v>
      </c>
    </row>
    <row r="118" spans="1:23" ht="24" customHeight="1" x14ac:dyDescent="0.3">
      <c r="A118" s="2" t="s">
        <v>686</v>
      </c>
      <c r="B118" s="11"/>
      <c r="C118" s="11"/>
      <c r="D118" s="2" t="s">
        <v>5158</v>
      </c>
      <c r="E118" s="2" t="s">
        <v>2817</v>
      </c>
      <c r="F118" s="2" t="s">
        <v>5159</v>
      </c>
      <c r="G118" s="2" t="s">
        <v>2</v>
      </c>
      <c r="H118" s="2" t="s">
        <v>124</v>
      </c>
      <c r="I118" s="2" t="s">
        <v>28</v>
      </c>
      <c r="J118" s="2" t="s">
        <v>2</v>
      </c>
      <c r="K118" s="2" t="s">
        <v>5761</v>
      </c>
      <c r="L118" s="2" t="s">
        <v>584</v>
      </c>
      <c r="M118" s="4">
        <v>10</v>
      </c>
      <c r="N118" s="4">
        <v>7.1</v>
      </c>
      <c r="O118" s="4">
        <f t="shared" si="2"/>
        <v>0</v>
      </c>
      <c r="P118" s="4">
        <v>0</v>
      </c>
      <c r="Q118" s="4">
        <v>0</v>
      </c>
      <c r="R118" s="4">
        <v>0</v>
      </c>
      <c r="S118" s="4">
        <v>0</v>
      </c>
      <c r="T118" s="2" t="s">
        <v>2819</v>
      </c>
      <c r="U118" s="2" t="s">
        <v>3668</v>
      </c>
      <c r="V118" s="2" t="s">
        <v>2</v>
      </c>
      <c r="W118" s="2" t="s">
        <v>2</v>
      </c>
    </row>
    <row r="119" spans="1:23" ht="24" customHeight="1" x14ac:dyDescent="0.3">
      <c r="A119" s="2" t="s">
        <v>687</v>
      </c>
      <c r="B119" s="11"/>
      <c r="C119" s="11"/>
      <c r="D119" s="2" t="s">
        <v>5161</v>
      </c>
      <c r="E119" s="2" t="s">
        <v>5762</v>
      </c>
      <c r="F119" s="2" t="s">
        <v>5163</v>
      </c>
      <c r="G119" s="2" t="s">
        <v>2</v>
      </c>
      <c r="H119" s="2" t="s">
        <v>124</v>
      </c>
      <c r="I119" s="2" t="s">
        <v>28</v>
      </c>
      <c r="J119" s="2" t="s">
        <v>2</v>
      </c>
      <c r="K119" s="2" t="s">
        <v>5763</v>
      </c>
      <c r="L119" s="2" t="s">
        <v>584</v>
      </c>
      <c r="M119" s="4">
        <v>19.600000000000001</v>
      </c>
      <c r="N119" s="4">
        <v>0</v>
      </c>
      <c r="O119" s="4">
        <f t="shared" si="2"/>
        <v>0</v>
      </c>
      <c r="P119" s="4">
        <v>0</v>
      </c>
      <c r="Q119" s="4">
        <v>0</v>
      </c>
      <c r="R119" s="4">
        <v>0</v>
      </c>
      <c r="S119" s="4">
        <v>0</v>
      </c>
      <c r="T119" s="2" t="s">
        <v>5165</v>
      </c>
      <c r="U119" s="2" t="s">
        <v>3418</v>
      </c>
      <c r="V119" s="2" t="s">
        <v>2</v>
      </c>
      <c r="W119" s="2" t="s">
        <v>2</v>
      </c>
    </row>
    <row r="120" spans="1:23" ht="24" customHeight="1" x14ac:dyDescent="0.3">
      <c r="A120" s="2" t="s">
        <v>688</v>
      </c>
      <c r="B120" s="11"/>
      <c r="C120" s="11"/>
      <c r="D120" s="2" t="s">
        <v>5764</v>
      </c>
      <c r="E120" s="2" t="s">
        <v>5765</v>
      </c>
      <c r="F120" s="2" t="s">
        <v>5766</v>
      </c>
      <c r="G120" s="2" t="s">
        <v>2</v>
      </c>
      <c r="H120" s="2" t="s">
        <v>124</v>
      </c>
      <c r="I120" s="2" t="s">
        <v>28</v>
      </c>
      <c r="J120" s="2" t="s">
        <v>2</v>
      </c>
      <c r="K120" s="2" t="s">
        <v>5767</v>
      </c>
      <c r="L120" s="2" t="s">
        <v>584</v>
      </c>
      <c r="M120" s="4">
        <v>9</v>
      </c>
      <c r="N120" s="4">
        <v>12.1</v>
      </c>
      <c r="O120" s="4">
        <f t="shared" si="2"/>
        <v>0</v>
      </c>
      <c r="P120" s="4">
        <v>0</v>
      </c>
      <c r="Q120" s="4">
        <v>0</v>
      </c>
      <c r="R120" s="4">
        <v>0</v>
      </c>
      <c r="S120" s="4">
        <v>0</v>
      </c>
      <c r="T120" s="2" t="s">
        <v>5768</v>
      </c>
      <c r="U120" s="2" t="s">
        <v>581</v>
      </c>
      <c r="V120" s="2" t="s">
        <v>2</v>
      </c>
      <c r="W120" s="2" t="s">
        <v>2</v>
      </c>
    </row>
    <row r="121" spans="1:23" ht="24" customHeight="1" x14ac:dyDescent="0.3">
      <c r="A121" s="2" t="s">
        <v>690</v>
      </c>
      <c r="B121" s="11"/>
      <c r="C121" s="11"/>
      <c r="D121" s="2" t="s">
        <v>5166</v>
      </c>
      <c r="E121" s="2" t="s">
        <v>5167</v>
      </c>
      <c r="F121" s="2" t="s">
        <v>5168</v>
      </c>
      <c r="G121" s="2" t="s">
        <v>2</v>
      </c>
      <c r="H121" s="2" t="s">
        <v>124</v>
      </c>
      <c r="I121" s="2" t="s">
        <v>28</v>
      </c>
      <c r="J121" s="2" t="s">
        <v>2</v>
      </c>
      <c r="K121" s="2" t="s">
        <v>5769</v>
      </c>
      <c r="L121" s="2" t="s">
        <v>584</v>
      </c>
      <c r="M121" s="4">
        <v>20</v>
      </c>
      <c r="N121" s="4">
        <v>1913</v>
      </c>
      <c r="O121" s="4">
        <f t="shared" si="2"/>
        <v>140</v>
      </c>
      <c r="P121" s="4">
        <v>0</v>
      </c>
      <c r="Q121" s="4">
        <v>0</v>
      </c>
      <c r="R121" s="4">
        <v>140</v>
      </c>
      <c r="S121" s="4">
        <v>0</v>
      </c>
      <c r="T121" s="2" t="s">
        <v>5170</v>
      </c>
      <c r="U121" s="2" t="s">
        <v>706</v>
      </c>
      <c r="V121" s="2" t="s">
        <v>2</v>
      </c>
      <c r="W121" s="2" t="s">
        <v>2</v>
      </c>
    </row>
    <row r="122" spans="1:23" ht="24" customHeight="1" x14ac:dyDescent="0.3">
      <c r="A122" s="2" t="s">
        <v>691</v>
      </c>
      <c r="B122" s="11"/>
      <c r="C122" s="11"/>
      <c r="D122" s="2" t="s">
        <v>1029</v>
      </c>
      <c r="E122" s="2" t="s">
        <v>2717</v>
      </c>
      <c r="F122" s="2" t="s">
        <v>5770</v>
      </c>
      <c r="G122" s="2" t="s">
        <v>2</v>
      </c>
      <c r="H122" s="2" t="s">
        <v>124</v>
      </c>
      <c r="I122" s="2" t="s">
        <v>28</v>
      </c>
      <c r="J122" s="2" t="s">
        <v>2</v>
      </c>
      <c r="K122" s="2" t="s">
        <v>5771</v>
      </c>
      <c r="L122" s="2" t="s">
        <v>584</v>
      </c>
      <c r="M122" s="4">
        <v>110</v>
      </c>
      <c r="N122" s="4">
        <v>10720.5</v>
      </c>
      <c r="O122" s="4">
        <f t="shared" si="2"/>
        <v>3320.6</v>
      </c>
      <c r="P122" s="4">
        <v>3320.6</v>
      </c>
      <c r="Q122" s="4">
        <v>0</v>
      </c>
      <c r="R122" s="4">
        <v>0</v>
      </c>
      <c r="S122" s="4">
        <v>0</v>
      </c>
      <c r="T122" s="2" t="s">
        <v>5772</v>
      </c>
      <c r="U122" s="2" t="s">
        <v>154</v>
      </c>
      <c r="V122" s="2" t="s">
        <v>2</v>
      </c>
      <c r="W122" s="2" t="s">
        <v>2</v>
      </c>
    </row>
    <row r="123" spans="1:23" ht="24" customHeight="1" x14ac:dyDescent="0.3">
      <c r="A123" s="2" t="s">
        <v>692</v>
      </c>
      <c r="B123" s="11"/>
      <c r="C123" s="11"/>
      <c r="D123" s="2" t="s">
        <v>5171</v>
      </c>
      <c r="E123" s="2" t="s">
        <v>5172</v>
      </c>
      <c r="F123" s="2" t="s">
        <v>5173</v>
      </c>
      <c r="G123" s="2" t="s">
        <v>2</v>
      </c>
      <c r="H123" s="2" t="s">
        <v>124</v>
      </c>
      <c r="I123" s="2" t="s">
        <v>28</v>
      </c>
      <c r="J123" s="2" t="s">
        <v>2</v>
      </c>
      <c r="K123" s="2" t="s">
        <v>5773</v>
      </c>
      <c r="L123" s="2" t="s">
        <v>551</v>
      </c>
      <c r="M123" s="4">
        <v>10.6</v>
      </c>
      <c r="N123" s="4">
        <v>0</v>
      </c>
      <c r="O123" s="4">
        <f t="shared" si="2"/>
        <v>0</v>
      </c>
      <c r="P123" s="4">
        <v>0</v>
      </c>
      <c r="Q123" s="4">
        <v>0</v>
      </c>
      <c r="R123" s="4">
        <v>0</v>
      </c>
      <c r="S123" s="4">
        <v>0</v>
      </c>
      <c r="T123" s="2" t="s">
        <v>5175</v>
      </c>
      <c r="U123" s="2" t="s">
        <v>3470</v>
      </c>
      <c r="V123" s="2" t="s">
        <v>2</v>
      </c>
      <c r="W123" s="2" t="s">
        <v>2</v>
      </c>
    </row>
    <row r="124" spans="1:23" ht="24" customHeight="1" x14ac:dyDescent="0.3">
      <c r="A124" s="2" t="s">
        <v>694</v>
      </c>
      <c r="B124" s="11"/>
      <c r="C124" s="11"/>
      <c r="D124" s="2" t="s">
        <v>5774</v>
      </c>
      <c r="E124" s="2" t="s">
        <v>2717</v>
      </c>
      <c r="F124" s="2" t="s">
        <v>5775</v>
      </c>
      <c r="G124" s="2" t="s">
        <v>2</v>
      </c>
      <c r="H124" s="2" t="s">
        <v>124</v>
      </c>
      <c r="I124" s="2" t="s">
        <v>28</v>
      </c>
      <c r="J124" s="2" t="s">
        <v>2</v>
      </c>
      <c r="K124" s="2" t="s">
        <v>5776</v>
      </c>
      <c r="L124" s="2" t="s">
        <v>583</v>
      </c>
      <c r="M124" s="4">
        <v>62.4</v>
      </c>
      <c r="N124" s="4">
        <v>0</v>
      </c>
      <c r="O124" s="4">
        <f t="shared" si="2"/>
        <v>0</v>
      </c>
      <c r="P124" s="4">
        <v>0</v>
      </c>
      <c r="Q124" s="4">
        <v>0</v>
      </c>
      <c r="R124" s="4">
        <v>0</v>
      </c>
      <c r="S124" s="4">
        <v>0</v>
      </c>
      <c r="T124" s="2" t="s">
        <v>2719</v>
      </c>
      <c r="U124" s="2" t="s">
        <v>3575</v>
      </c>
      <c r="V124" s="2" t="s">
        <v>2</v>
      </c>
      <c r="W124" s="2" t="s">
        <v>2</v>
      </c>
    </row>
    <row r="125" spans="1:23" ht="24" customHeight="1" x14ac:dyDescent="0.3">
      <c r="A125" s="2" t="s">
        <v>695</v>
      </c>
      <c r="B125" s="11"/>
      <c r="C125" s="11"/>
      <c r="D125" s="2" t="s">
        <v>5777</v>
      </c>
      <c r="E125" s="2" t="s">
        <v>5778</v>
      </c>
      <c r="F125" s="2" t="s">
        <v>5779</v>
      </c>
      <c r="G125" s="2" t="s">
        <v>2</v>
      </c>
      <c r="H125" s="2" t="s">
        <v>124</v>
      </c>
      <c r="I125" s="2" t="s">
        <v>28</v>
      </c>
      <c r="J125" s="2" t="s">
        <v>2</v>
      </c>
      <c r="K125" s="2" t="s">
        <v>5780</v>
      </c>
      <c r="L125" s="2" t="s">
        <v>3543</v>
      </c>
      <c r="M125" s="4">
        <v>200</v>
      </c>
      <c r="N125" s="4">
        <v>0</v>
      </c>
      <c r="O125" s="4">
        <f t="shared" si="2"/>
        <v>0</v>
      </c>
      <c r="P125" s="4">
        <v>0</v>
      </c>
      <c r="Q125" s="4">
        <v>0</v>
      </c>
      <c r="R125" s="4">
        <v>0</v>
      </c>
      <c r="S125" s="4">
        <v>0</v>
      </c>
      <c r="T125" s="2" t="s">
        <v>2</v>
      </c>
      <c r="U125" s="2" t="s">
        <v>3385</v>
      </c>
      <c r="V125" s="2" t="s">
        <v>2</v>
      </c>
      <c r="W125" s="2" t="s">
        <v>2</v>
      </c>
    </row>
    <row r="126" spans="1:23" ht="24" customHeight="1" x14ac:dyDescent="0.3">
      <c r="A126" s="2" t="s">
        <v>696</v>
      </c>
      <c r="B126" s="11"/>
      <c r="C126" s="11"/>
      <c r="D126" s="2" t="s">
        <v>2911</v>
      </c>
      <c r="E126" s="2" t="s">
        <v>2912</v>
      </c>
      <c r="F126" s="2" t="s">
        <v>5202</v>
      </c>
      <c r="G126" s="2" t="s">
        <v>2</v>
      </c>
      <c r="H126" s="2" t="s">
        <v>124</v>
      </c>
      <c r="I126" s="2" t="s">
        <v>28</v>
      </c>
      <c r="J126" s="2" t="s">
        <v>2</v>
      </c>
      <c r="K126" s="2" t="s">
        <v>5781</v>
      </c>
      <c r="L126" s="2" t="s">
        <v>3542</v>
      </c>
      <c r="M126" s="4">
        <v>100</v>
      </c>
      <c r="N126" s="4">
        <v>0</v>
      </c>
      <c r="O126" s="4">
        <f t="shared" si="2"/>
        <v>0</v>
      </c>
      <c r="P126" s="4">
        <v>0</v>
      </c>
      <c r="Q126" s="4">
        <v>0</v>
      </c>
      <c r="R126" s="4">
        <v>0</v>
      </c>
      <c r="S126" s="4">
        <v>0</v>
      </c>
      <c r="T126" s="2" t="s">
        <v>2914</v>
      </c>
      <c r="U126" s="2" t="s">
        <v>3650</v>
      </c>
      <c r="V126" s="2" t="s">
        <v>2</v>
      </c>
      <c r="W126" s="2" t="s">
        <v>2</v>
      </c>
    </row>
    <row r="127" spans="1:23" ht="24" customHeight="1" x14ac:dyDescent="0.3">
      <c r="A127" s="2" t="s">
        <v>697</v>
      </c>
      <c r="B127" s="11"/>
      <c r="C127" s="11"/>
      <c r="D127" s="2" t="s">
        <v>5782</v>
      </c>
      <c r="E127" s="2" t="s">
        <v>5783</v>
      </c>
      <c r="F127" s="2" t="s">
        <v>5784</v>
      </c>
      <c r="G127" s="2" t="s">
        <v>2</v>
      </c>
      <c r="H127" s="2" t="s">
        <v>124</v>
      </c>
      <c r="I127" s="2" t="s">
        <v>28</v>
      </c>
      <c r="J127" s="2" t="s">
        <v>2</v>
      </c>
      <c r="K127" s="2" t="s">
        <v>5785</v>
      </c>
      <c r="L127" s="2" t="s">
        <v>568</v>
      </c>
      <c r="M127" s="4">
        <v>244</v>
      </c>
      <c r="N127" s="4">
        <v>52691.6</v>
      </c>
      <c r="O127" s="4">
        <f t="shared" si="2"/>
        <v>4400.0999999999995</v>
      </c>
      <c r="P127" s="4">
        <v>4223.7</v>
      </c>
      <c r="Q127" s="4">
        <v>176.4</v>
      </c>
      <c r="R127" s="4">
        <v>0</v>
      </c>
      <c r="S127" s="4">
        <v>0</v>
      </c>
      <c r="T127" s="2" t="s">
        <v>3980</v>
      </c>
      <c r="U127" s="2" t="s">
        <v>1065</v>
      </c>
      <c r="V127" s="2" t="s">
        <v>2</v>
      </c>
      <c r="W127" s="2" t="s">
        <v>2</v>
      </c>
    </row>
    <row r="128" spans="1:23" ht="24" customHeight="1" x14ac:dyDescent="0.3">
      <c r="A128" s="2" t="s">
        <v>698</v>
      </c>
      <c r="B128" s="11"/>
      <c r="C128" s="11"/>
      <c r="D128" s="2" t="s">
        <v>1338</v>
      </c>
      <c r="E128" s="2" t="s">
        <v>4928</v>
      </c>
      <c r="F128" s="2" t="s">
        <v>5786</v>
      </c>
      <c r="G128" s="2" t="s">
        <v>2</v>
      </c>
      <c r="H128" s="2" t="s">
        <v>124</v>
      </c>
      <c r="I128" s="2" t="s">
        <v>28</v>
      </c>
      <c r="J128" s="2" t="s">
        <v>2</v>
      </c>
      <c r="K128" s="2" t="s">
        <v>5787</v>
      </c>
      <c r="L128" s="2" t="s">
        <v>514</v>
      </c>
      <c r="M128" s="4">
        <v>4</v>
      </c>
      <c r="N128" s="4">
        <v>960.9</v>
      </c>
      <c r="O128" s="4">
        <f t="shared" si="2"/>
        <v>22</v>
      </c>
      <c r="P128" s="4">
        <v>22</v>
      </c>
      <c r="Q128" s="4">
        <v>0</v>
      </c>
      <c r="R128" s="4">
        <v>0</v>
      </c>
      <c r="S128" s="4">
        <v>0</v>
      </c>
      <c r="T128" s="2" t="s">
        <v>2</v>
      </c>
      <c r="U128" s="2" t="s">
        <v>203</v>
      </c>
      <c r="V128" s="2" t="s">
        <v>2</v>
      </c>
      <c r="W128" s="2" t="s">
        <v>2</v>
      </c>
    </row>
    <row r="129" spans="1:23" ht="24" customHeight="1" x14ac:dyDescent="0.3">
      <c r="A129" s="2" t="s">
        <v>699</v>
      </c>
      <c r="B129" s="11"/>
      <c r="C129" s="11"/>
      <c r="D129" s="2" t="s">
        <v>5788</v>
      </c>
      <c r="E129" s="2" t="s">
        <v>5789</v>
      </c>
      <c r="F129" s="2" t="s">
        <v>5790</v>
      </c>
      <c r="G129" s="2" t="s">
        <v>2</v>
      </c>
      <c r="H129" s="2" t="s">
        <v>124</v>
      </c>
      <c r="I129" s="2" t="s">
        <v>28</v>
      </c>
      <c r="J129" s="2" t="s">
        <v>2</v>
      </c>
      <c r="K129" s="2" t="s">
        <v>5791</v>
      </c>
      <c r="L129" s="2" t="s">
        <v>584</v>
      </c>
      <c r="M129" s="4">
        <v>4</v>
      </c>
      <c r="N129" s="4">
        <v>0</v>
      </c>
      <c r="O129" s="4">
        <f t="shared" si="2"/>
        <v>0</v>
      </c>
      <c r="P129" s="4">
        <v>0</v>
      </c>
      <c r="Q129" s="4">
        <v>0</v>
      </c>
      <c r="R129" s="4">
        <v>0</v>
      </c>
      <c r="S129" s="4">
        <v>0</v>
      </c>
      <c r="T129" s="2" t="s">
        <v>5792</v>
      </c>
      <c r="U129" s="2" t="s">
        <v>292</v>
      </c>
      <c r="V129" s="2" t="s">
        <v>2</v>
      </c>
      <c r="W129" s="2" t="s">
        <v>2</v>
      </c>
    </row>
    <row r="130" spans="1:23" ht="24" customHeight="1" x14ac:dyDescent="0.3">
      <c r="A130" s="2" t="s">
        <v>700</v>
      </c>
      <c r="B130" s="11"/>
      <c r="C130" s="11"/>
      <c r="D130" s="2" t="s">
        <v>5221</v>
      </c>
      <c r="E130" s="2" t="s">
        <v>3251</v>
      </c>
      <c r="F130" s="2" t="s">
        <v>5222</v>
      </c>
      <c r="G130" s="2" t="s">
        <v>2</v>
      </c>
      <c r="H130" s="2" t="s">
        <v>124</v>
      </c>
      <c r="I130" s="2" t="s">
        <v>28</v>
      </c>
      <c r="J130" s="2" t="s">
        <v>2</v>
      </c>
      <c r="K130" s="2" t="s">
        <v>5793</v>
      </c>
      <c r="L130" s="2" t="s">
        <v>3543</v>
      </c>
      <c r="M130" s="4">
        <v>220</v>
      </c>
      <c r="N130" s="4">
        <v>63698.6</v>
      </c>
      <c r="O130" s="4">
        <f t="shared" si="2"/>
        <v>38.6</v>
      </c>
      <c r="P130" s="4">
        <v>38.6</v>
      </c>
      <c r="Q130" s="4">
        <v>0</v>
      </c>
      <c r="R130" s="4">
        <v>0</v>
      </c>
      <c r="S130" s="4">
        <v>0</v>
      </c>
      <c r="T130" s="2" t="s">
        <v>5224</v>
      </c>
      <c r="U130" s="2" t="s">
        <v>3517</v>
      </c>
      <c r="V130" s="2" t="s">
        <v>2</v>
      </c>
      <c r="W130" s="2" t="s">
        <v>2</v>
      </c>
    </row>
    <row r="131" spans="1:23" ht="24" customHeight="1" x14ac:dyDescent="0.3">
      <c r="A131" s="2" t="s">
        <v>702</v>
      </c>
      <c r="B131" s="11"/>
      <c r="C131" s="11"/>
      <c r="D131" s="2" t="s">
        <v>2754</v>
      </c>
      <c r="E131" s="2" t="s">
        <v>2750</v>
      </c>
      <c r="F131" s="2" t="s">
        <v>5225</v>
      </c>
      <c r="G131" s="2" t="s">
        <v>2</v>
      </c>
      <c r="H131" s="2" t="s">
        <v>124</v>
      </c>
      <c r="I131" s="2" t="s">
        <v>28</v>
      </c>
      <c r="J131" s="2" t="s">
        <v>2</v>
      </c>
      <c r="K131" s="2" t="s">
        <v>5794</v>
      </c>
      <c r="L131" s="2" t="s">
        <v>3545</v>
      </c>
      <c r="M131" s="4">
        <v>995</v>
      </c>
      <c r="N131" s="4">
        <v>140965</v>
      </c>
      <c r="O131" s="4">
        <f t="shared" si="2"/>
        <v>9408.6</v>
      </c>
      <c r="P131" s="4">
        <v>9408.6</v>
      </c>
      <c r="Q131" s="4">
        <v>0</v>
      </c>
      <c r="R131" s="4">
        <v>0</v>
      </c>
      <c r="S131" s="4">
        <v>0</v>
      </c>
      <c r="T131" s="2" t="s">
        <v>2756</v>
      </c>
      <c r="U131" s="2" t="s">
        <v>3425</v>
      </c>
      <c r="V131" s="2" t="s">
        <v>2</v>
      </c>
      <c r="W131" s="2" t="s">
        <v>2</v>
      </c>
    </row>
    <row r="132" spans="1:23" ht="24" customHeight="1" x14ac:dyDescent="0.3">
      <c r="A132" s="2" t="s">
        <v>703</v>
      </c>
      <c r="B132" s="11"/>
      <c r="C132" s="11"/>
      <c r="D132" s="2" t="s">
        <v>5795</v>
      </c>
      <c r="E132" s="2" t="s">
        <v>3475</v>
      </c>
      <c r="F132" s="2" t="s">
        <v>5796</v>
      </c>
      <c r="G132" s="2" t="s">
        <v>2</v>
      </c>
      <c r="H132" s="2" t="s">
        <v>124</v>
      </c>
      <c r="I132" s="2" t="s">
        <v>28</v>
      </c>
      <c r="J132" s="2" t="s">
        <v>2</v>
      </c>
      <c r="K132" s="2" t="s">
        <v>5797</v>
      </c>
      <c r="L132" s="2" t="s">
        <v>3541</v>
      </c>
      <c r="M132" s="4">
        <v>10</v>
      </c>
      <c r="N132" s="4">
        <v>570.4</v>
      </c>
      <c r="O132" s="4">
        <f t="shared" si="2"/>
        <v>8.4</v>
      </c>
      <c r="P132" s="4">
        <v>0</v>
      </c>
      <c r="Q132" s="4">
        <v>8.4</v>
      </c>
      <c r="R132" s="4">
        <v>0</v>
      </c>
      <c r="S132" s="4">
        <v>0</v>
      </c>
      <c r="T132" s="2" t="s">
        <v>5798</v>
      </c>
      <c r="U132" s="2" t="s">
        <v>3522</v>
      </c>
      <c r="V132" s="2" t="s">
        <v>2</v>
      </c>
      <c r="W132" s="2" t="s">
        <v>2</v>
      </c>
    </row>
    <row r="133" spans="1:23" ht="24" customHeight="1" x14ac:dyDescent="0.3">
      <c r="A133" s="2" t="s">
        <v>704</v>
      </c>
      <c r="B133" s="11"/>
      <c r="C133" s="11"/>
      <c r="D133" s="2" t="s">
        <v>5799</v>
      </c>
      <c r="E133" s="2" t="s">
        <v>5800</v>
      </c>
      <c r="F133" s="2" t="s">
        <v>5801</v>
      </c>
      <c r="G133" s="2" t="s">
        <v>2</v>
      </c>
      <c r="H133" s="2" t="s">
        <v>124</v>
      </c>
      <c r="I133" s="2" t="s">
        <v>28</v>
      </c>
      <c r="J133" s="2" t="s">
        <v>2</v>
      </c>
      <c r="K133" s="2" t="s">
        <v>5802</v>
      </c>
      <c r="L133" s="2" t="s">
        <v>501</v>
      </c>
      <c r="M133" s="4">
        <v>32</v>
      </c>
      <c r="N133" s="4">
        <v>9104.7999999999993</v>
      </c>
      <c r="O133" s="4">
        <f t="shared" si="2"/>
        <v>793.7</v>
      </c>
      <c r="P133" s="4">
        <v>468.8</v>
      </c>
      <c r="Q133" s="4">
        <v>324.89999999999998</v>
      </c>
      <c r="R133" s="4">
        <v>0</v>
      </c>
      <c r="S133" s="4">
        <v>0</v>
      </c>
      <c r="T133" s="2" t="s">
        <v>5803</v>
      </c>
      <c r="U133" s="2" t="s">
        <v>3534</v>
      </c>
      <c r="V133" s="2" t="s">
        <v>2</v>
      </c>
      <c r="W133" s="2" t="s">
        <v>2</v>
      </c>
    </row>
    <row r="134" spans="1:23" ht="24" customHeight="1" x14ac:dyDescent="0.3">
      <c r="A134" s="2" t="s">
        <v>705</v>
      </c>
      <c r="B134" s="11"/>
      <c r="C134" s="11"/>
      <c r="D134" s="2" t="s">
        <v>2759</v>
      </c>
      <c r="E134" s="2" t="s">
        <v>5233</v>
      </c>
      <c r="F134" s="2" t="s">
        <v>2761</v>
      </c>
      <c r="G134" s="2" t="s">
        <v>2</v>
      </c>
      <c r="H134" s="2" t="s">
        <v>124</v>
      </c>
      <c r="I134" s="2" t="s">
        <v>28</v>
      </c>
      <c r="J134" s="2" t="s">
        <v>2</v>
      </c>
      <c r="K134" s="2" t="s">
        <v>5804</v>
      </c>
      <c r="L134" s="2" t="s">
        <v>4569</v>
      </c>
      <c r="M134" s="4">
        <v>150</v>
      </c>
      <c r="N134" s="4">
        <v>16849</v>
      </c>
      <c r="O134" s="4">
        <f t="shared" si="2"/>
        <v>15324</v>
      </c>
      <c r="P134" s="4">
        <v>15324</v>
      </c>
      <c r="Q134" s="4">
        <v>0</v>
      </c>
      <c r="R134" s="4">
        <v>0</v>
      </c>
      <c r="S134" s="4">
        <v>0</v>
      </c>
      <c r="T134" s="2" t="s">
        <v>5235</v>
      </c>
      <c r="U134" s="2" t="s">
        <v>570</v>
      </c>
      <c r="V134" s="2" t="s">
        <v>2</v>
      </c>
      <c r="W134" s="2" t="s">
        <v>2</v>
      </c>
    </row>
    <row r="135" spans="1:23" ht="24" customHeight="1" x14ac:dyDescent="0.3">
      <c r="A135" s="2" t="s">
        <v>378</v>
      </c>
      <c r="B135" s="11"/>
      <c r="C135" s="11"/>
      <c r="D135" s="2" t="s">
        <v>5238</v>
      </c>
      <c r="E135" s="2" t="s">
        <v>3461</v>
      </c>
      <c r="F135" s="2" t="s">
        <v>5239</v>
      </c>
      <c r="G135" s="2" t="s">
        <v>2</v>
      </c>
      <c r="H135" s="2" t="s">
        <v>124</v>
      </c>
      <c r="I135" s="2" t="s">
        <v>28</v>
      </c>
      <c r="J135" s="2" t="s">
        <v>2</v>
      </c>
      <c r="K135" s="2" t="s">
        <v>5805</v>
      </c>
      <c r="L135" s="2" t="s">
        <v>3545</v>
      </c>
      <c r="M135" s="4">
        <v>200</v>
      </c>
      <c r="N135" s="4">
        <v>21439.5</v>
      </c>
      <c r="O135" s="4">
        <f t="shared" si="2"/>
        <v>108.8</v>
      </c>
      <c r="P135" s="4">
        <v>101</v>
      </c>
      <c r="Q135" s="4">
        <v>7.8</v>
      </c>
      <c r="R135" s="4">
        <v>0</v>
      </c>
      <c r="S135" s="4">
        <v>0</v>
      </c>
      <c r="T135" s="2" t="s">
        <v>5241</v>
      </c>
      <c r="U135" s="2" t="s">
        <v>1198</v>
      </c>
      <c r="V135" s="2" t="s">
        <v>2</v>
      </c>
      <c r="W135" s="2" t="s">
        <v>2</v>
      </c>
    </row>
    <row r="136" spans="1:23" ht="24" customHeight="1" x14ac:dyDescent="0.3">
      <c r="A136" s="2" t="s">
        <v>707</v>
      </c>
      <c r="B136" s="11"/>
      <c r="C136" s="11"/>
      <c r="D136" s="2" t="s">
        <v>3419</v>
      </c>
      <c r="E136" s="2" t="s">
        <v>5806</v>
      </c>
      <c r="F136" s="2" t="s">
        <v>5807</v>
      </c>
      <c r="G136" s="2" t="s">
        <v>2</v>
      </c>
      <c r="H136" s="2" t="s">
        <v>124</v>
      </c>
      <c r="I136" s="2" t="s">
        <v>28</v>
      </c>
      <c r="J136" s="2" t="s">
        <v>2</v>
      </c>
      <c r="K136" s="2" t="s">
        <v>5808</v>
      </c>
      <c r="L136" s="2" t="s">
        <v>551</v>
      </c>
      <c r="M136" s="4">
        <v>32</v>
      </c>
      <c r="N136" s="4">
        <v>873</v>
      </c>
      <c r="O136" s="4">
        <f t="shared" si="2"/>
        <v>732.6</v>
      </c>
      <c r="P136" s="4">
        <v>732.6</v>
      </c>
      <c r="Q136" s="4">
        <v>0</v>
      </c>
      <c r="R136" s="4">
        <v>0</v>
      </c>
      <c r="S136" s="4">
        <v>0</v>
      </c>
      <c r="T136" s="2" t="s">
        <v>5809</v>
      </c>
      <c r="U136" s="2" t="s">
        <v>779</v>
      </c>
      <c r="V136" s="2" t="s">
        <v>2</v>
      </c>
      <c r="W136" s="2" t="s">
        <v>2</v>
      </c>
    </row>
    <row r="137" spans="1:23" ht="24" customHeight="1" x14ac:dyDescent="0.3">
      <c r="A137" s="2" t="s">
        <v>708</v>
      </c>
      <c r="B137" s="11"/>
      <c r="C137" s="11"/>
      <c r="D137" s="2" t="s">
        <v>5810</v>
      </c>
      <c r="E137" s="2" t="s">
        <v>5811</v>
      </c>
      <c r="F137" s="2" t="s">
        <v>5812</v>
      </c>
      <c r="G137" s="2" t="s">
        <v>2</v>
      </c>
      <c r="H137" s="2" t="s">
        <v>124</v>
      </c>
      <c r="I137" s="2" t="s">
        <v>28</v>
      </c>
      <c r="J137" s="2" t="s">
        <v>2</v>
      </c>
      <c r="K137" s="2" t="s">
        <v>5813</v>
      </c>
      <c r="L137" s="2" t="s">
        <v>5814</v>
      </c>
      <c r="M137" s="4">
        <v>70</v>
      </c>
      <c r="N137" s="4">
        <v>13056.2</v>
      </c>
      <c r="O137" s="4">
        <f t="shared" si="2"/>
        <v>0</v>
      </c>
      <c r="P137" s="4">
        <v>0</v>
      </c>
      <c r="Q137" s="4">
        <v>0</v>
      </c>
      <c r="R137" s="4">
        <v>0</v>
      </c>
      <c r="S137" s="4">
        <v>0</v>
      </c>
      <c r="T137" s="2" t="s">
        <v>5815</v>
      </c>
      <c r="U137" s="2" t="s">
        <v>295</v>
      </c>
      <c r="V137" s="2" t="s">
        <v>2</v>
      </c>
      <c r="W137" s="2" t="s">
        <v>2</v>
      </c>
    </row>
    <row r="138" spans="1:23" ht="24" customHeight="1" x14ac:dyDescent="0.3">
      <c r="A138" s="2" t="s">
        <v>709</v>
      </c>
      <c r="B138" s="11"/>
      <c r="C138" s="11"/>
      <c r="D138" s="2" t="s">
        <v>5816</v>
      </c>
      <c r="E138" s="2" t="s">
        <v>5817</v>
      </c>
      <c r="F138" s="2" t="s">
        <v>5818</v>
      </c>
      <c r="G138" s="2" t="s">
        <v>2</v>
      </c>
      <c r="H138" s="2" t="s">
        <v>124</v>
      </c>
      <c r="I138" s="2" t="s">
        <v>28</v>
      </c>
      <c r="J138" s="2" t="s">
        <v>2</v>
      </c>
      <c r="K138" s="2" t="s">
        <v>5819</v>
      </c>
      <c r="L138" s="2" t="s">
        <v>5820</v>
      </c>
      <c r="M138" s="4">
        <v>400</v>
      </c>
      <c r="N138" s="4">
        <v>35161</v>
      </c>
      <c r="O138" s="4">
        <f t="shared" si="2"/>
        <v>0</v>
      </c>
      <c r="P138" s="4">
        <v>0</v>
      </c>
      <c r="Q138" s="4">
        <v>0</v>
      </c>
      <c r="R138" s="4">
        <v>0</v>
      </c>
      <c r="S138" s="4">
        <v>0</v>
      </c>
      <c r="T138" s="2" t="s">
        <v>5821</v>
      </c>
      <c r="U138" s="2" t="s">
        <v>64</v>
      </c>
      <c r="V138" s="2" t="s">
        <v>2</v>
      </c>
      <c r="W138" s="2" t="s">
        <v>2</v>
      </c>
    </row>
    <row r="139" spans="1:23" ht="24" customHeight="1" x14ac:dyDescent="0.3">
      <c r="A139" s="2" t="s">
        <v>711</v>
      </c>
      <c r="B139" s="11"/>
      <c r="C139" s="11"/>
      <c r="D139" s="2" t="s">
        <v>2791</v>
      </c>
      <c r="E139" s="2" t="s">
        <v>2792</v>
      </c>
      <c r="F139" s="2" t="s">
        <v>5248</v>
      </c>
      <c r="G139" s="2" t="s">
        <v>2</v>
      </c>
      <c r="H139" s="2" t="s">
        <v>124</v>
      </c>
      <c r="I139" s="2" t="s">
        <v>28</v>
      </c>
      <c r="J139" s="2" t="s">
        <v>2</v>
      </c>
      <c r="K139" s="2" t="s">
        <v>5822</v>
      </c>
      <c r="L139" s="2" t="s">
        <v>4252</v>
      </c>
      <c r="M139" s="4">
        <v>48.4</v>
      </c>
      <c r="N139" s="4">
        <v>10127.4</v>
      </c>
      <c r="O139" s="4">
        <f t="shared" si="2"/>
        <v>2144.6999999999998</v>
      </c>
      <c r="P139" s="4">
        <v>2144.6999999999998</v>
      </c>
      <c r="Q139" s="4">
        <v>0</v>
      </c>
      <c r="R139" s="4">
        <v>0</v>
      </c>
      <c r="S139" s="4">
        <v>0</v>
      </c>
      <c r="T139" s="2" t="s">
        <v>2794</v>
      </c>
      <c r="U139" s="2" t="s">
        <v>3574</v>
      </c>
      <c r="V139" s="2" t="s">
        <v>2</v>
      </c>
      <c r="W139" s="2" t="s">
        <v>2</v>
      </c>
    </row>
    <row r="140" spans="1:23" ht="24" customHeight="1" x14ac:dyDescent="0.3">
      <c r="A140" s="2" t="s">
        <v>712</v>
      </c>
      <c r="B140" s="11"/>
      <c r="C140" s="11"/>
      <c r="D140" s="2" t="s">
        <v>5823</v>
      </c>
      <c r="E140" s="2" t="s">
        <v>5824</v>
      </c>
      <c r="F140" s="2" t="s">
        <v>5825</v>
      </c>
      <c r="G140" s="2" t="s">
        <v>2</v>
      </c>
      <c r="H140" s="2" t="s">
        <v>124</v>
      </c>
      <c r="I140" s="2" t="s">
        <v>28</v>
      </c>
      <c r="J140" s="2" t="s">
        <v>2</v>
      </c>
      <c r="K140" s="2" t="s">
        <v>5826</v>
      </c>
      <c r="L140" s="2" t="s">
        <v>5827</v>
      </c>
      <c r="M140" s="4">
        <v>320</v>
      </c>
      <c r="N140" s="4">
        <v>31466</v>
      </c>
      <c r="O140" s="4">
        <f t="shared" si="2"/>
        <v>0</v>
      </c>
      <c r="P140" s="4">
        <v>0</v>
      </c>
      <c r="Q140" s="4">
        <v>0</v>
      </c>
      <c r="R140" s="4">
        <v>0</v>
      </c>
      <c r="S140" s="4">
        <v>0</v>
      </c>
      <c r="T140" s="2" t="s">
        <v>5828</v>
      </c>
      <c r="U140" s="2" t="s">
        <v>5355</v>
      </c>
      <c r="V140" s="2" t="s">
        <v>2</v>
      </c>
      <c r="W140" s="2" t="s">
        <v>2</v>
      </c>
    </row>
    <row r="141" spans="1:23" ht="24" customHeight="1" x14ac:dyDescent="0.3">
      <c r="A141" s="2" t="s">
        <v>713</v>
      </c>
      <c r="B141" s="11"/>
      <c r="C141" s="11"/>
      <c r="D141" s="2" t="s">
        <v>5829</v>
      </c>
      <c r="E141" s="2" t="s">
        <v>5357</v>
      </c>
      <c r="F141" s="2" t="s">
        <v>5830</v>
      </c>
      <c r="G141" s="2" t="s">
        <v>2</v>
      </c>
      <c r="H141" s="2" t="s">
        <v>124</v>
      </c>
      <c r="I141" s="2" t="s">
        <v>28</v>
      </c>
      <c r="J141" s="2" t="s">
        <v>2</v>
      </c>
      <c r="K141" s="2" t="s">
        <v>5831</v>
      </c>
      <c r="L141" s="2" t="s">
        <v>584</v>
      </c>
      <c r="M141" s="4">
        <v>4</v>
      </c>
      <c r="N141" s="4">
        <v>0</v>
      </c>
      <c r="O141" s="4">
        <f t="shared" si="2"/>
        <v>0</v>
      </c>
      <c r="P141" s="4">
        <v>0</v>
      </c>
      <c r="Q141" s="4">
        <v>0</v>
      </c>
      <c r="R141" s="4">
        <v>0</v>
      </c>
      <c r="S141" s="4">
        <v>0</v>
      </c>
      <c r="T141" s="2" t="s">
        <v>2</v>
      </c>
      <c r="U141" s="2" t="s">
        <v>4597</v>
      </c>
      <c r="V141" s="2" t="s">
        <v>2</v>
      </c>
      <c r="W141" s="2" t="s">
        <v>2</v>
      </c>
    </row>
    <row r="142" spans="1:23" ht="24" customHeight="1" x14ac:dyDescent="0.3">
      <c r="A142" s="2" t="s">
        <v>714</v>
      </c>
      <c r="B142" s="11"/>
      <c r="C142" s="11"/>
      <c r="D142" s="2" t="s">
        <v>5832</v>
      </c>
      <c r="E142" s="2" t="s">
        <v>5833</v>
      </c>
      <c r="F142" s="2" t="s">
        <v>5834</v>
      </c>
      <c r="G142" s="2" t="s">
        <v>2</v>
      </c>
      <c r="H142" s="2" t="s">
        <v>124</v>
      </c>
      <c r="I142" s="2" t="s">
        <v>28</v>
      </c>
      <c r="J142" s="2" t="s">
        <v>2</v>
      </c>
      <c r="K142" s="2" t="s">
        <v>5835</v>
      </c>
      <c r="L142" s="2" t="s">
        <v>584</v>
      </c>
      <c r="M142" s="4">
        <v>4</v>
      </c>
      <c r="N142" s="4">
        <v>124.2</v>
      </c>
      <c r="O142" s="4">
        <f t="shared" si="2"/>
        <v>0</v>
      </c>
      <c r="P142" s="4">
        <v>0</v>
      </c>
      <c r="Q142" s="4">
        <v>0</v>
      </c>
      <c r="R142" s="4">
        <v>0</v>
      </c>
      <c r="S142" s="4">
        <v>0</v>
      </c>
      <c r="T142" s="2" t="s">
        <v>2</v>
      </c>
      <c r="U142" s="2" t="s">
        <v>2012</v>
      </c>
      <c r="V142" s="2" t="s">
        <v>2</v>
      </c>
      <c r="W142" s="2" t="s">
        <v>2</v>
      </c>
    </row>
    <row r="143" spans="1:23" ht="24" customHeight="1" x14ac:dyDescent="0.3">
      <c r="A143" s="2" t="s">
        <v>715</v>
      </c>
      <c r="B143" s="11"/>
      <c r="C143" s="11"/>
      <c r="D143" s="2" t="s">
        <v>5836</v>
      </c>
      <c r="E143" s="2" t="s">
        <v>5837</v>
      </c>
      <c r="F143" s="2" t="s">
        <v>5838</v>
      </c>
      <c r="G143" s="2" t="s">
        <v>2</v>
      </c>
      <c r="H143" s="2" t="s">
        <v>124</v>
      </c>
      <c r="I143" s="2" t="s">
        <v>28</v>
      </c>
      <c r="J143" s="2" t="s">
        <v>2</v>
      </c>
      <c r="K143" s="2" t="s">
        <v>5839</v>
      </c>
      <c r="L143" s="2" t="s">
        <v>501</v>
      </c>
      <c r="M143" s="4">
        <v>4.8</v>
      </c>
      <c r="N143" s="4">
        <v>439.3</v>
      </c>
      <c r="O143" s="4">
        <f t="shared" si="2"/>
        <v>0</v>
      </c>
      <c r="P143" s="4">
        <v>0</v>
      </c>
      <c r="Q143" s="4">
        <v>0</v>
      </c>
      <c r="R143" s="4">
        <v>0</v>
      </c>
      <c r="S143" s="4">
        <v>0</v>
      </c>
      <c r="T143" s="2" t="s">
        <v>2</v>
      </c>
      <c r="U143" s="2" t="s">
        <v>199</v>
      </c>
      <c r="V143" s="2" t="s">
        <v>2</v>
      </c>
      <c r="W143" s="2" t="s">
        <v>2</v>
      </c>
    </row>
    <row r="144" spans="1:23" ht="24" customHeight="1" x14ac:dyDescent="0.3">
      <c r="A144" s="2" t="s">
        <v>716</v>
      </c>
      <c r="B144" s="11"/>
      <c r="C144" s="11"/>
      <c r="D144" s="2" t="s">
        <v>2816</v>
      </c>
      <c r="E144" s="2" t="s">
        <v>2817</v>
      </c>
      <c r="F144" s="2" t="s">
        <v>5840</v>
      </c>
      <c r="G144" s="2" t="s">
        <v>2</v>
      </c>
      <c r="H144" s="2" t="s">
        <v>124</v>
      </c>
      <c r="I144" s="2" t="s">
        <v>28</v>
      </c>
      <c r="J144" s="2" t="s">
        <v>2</v>
      </c>
      <c r="K144" s="2" t="s">
        <v>5841</v>
      </c>
      <c r="L144" s="2" t="s">
        <v>584</v>
      </c>
      <c r="M144" s="4">
        <v>13.1</v>
      </c>
      <c r="N144" s="4">
        <v>43.4</v>
      </c>
      <c r="O144" s="4">
        <f t="shared" si="2"/>
        <v>0</v>
      </c>
      <c r="P144" s="4">
        <v>0</v>
      </c>
      <c r="Q144" s="4">
        <v>0</v>
      </c>
      <c r="R144" s="4">
        <v>0</v>
      </c>
      <c r="S144" s="4">
        <v>0</v>
      </c>
      <c r="T144" s="2" t="s">
        <v>2819</v>
      </c>
      <c r="U144" s="2" t="s">
        <v>3608</v>
      </c>
      <c r="V144" s="2" t="s">
        <v>2</v>
      </c>
      <c r="W144" s="2" t="s">
        <v>2</v>
      </c>
    </row>
    <row r="145" spans="1:23" ht="24" customHeight="1" x14ac:dyDescent="0.3">
      <c r="A145" s="2" t="s">
        <v>717</v>
      </c>
      <c r="B145" s="11"/>
      <c r="C145" s="11"/>
      <c r="D145" s="2" t="s">
        <v>5842</v>
      </c>
      <c r="E145" s="2" t="s">
        <v>851</v>
      </c>
      <c r="F145" s="2" t="s">
        <v>5843</v>
      </c>
      <c r="G145" s="2" t="s">
        <v>2</v>
      </c>
      <c r="H145" s="2" t="s">
        <v>124</v>
      </c>
      <c r="I145" s="2" t="s">
        <v>28</v>
      </c>
      <c r="J145" s="2" t="s">
        <v>2</v>
      </c>
      <c r="K145" s="2" t="s">
        <v>5844</v>
      </c>
      <c r="L145" s="2" t="s">
        <v>3543</v>
      </c>
      <c r="M145" s="4">
        <v>40</v>
      </c>
      <c r="N145" s="4">
        <v>7918.4</v>
      </c>
      <c r="O145" s="4">
        <f t="shared" si="2"/>
        <v>0</v>
      </c>
      <c r="P145" s="4">
        <v>0</v>
      </c>
      <c r="Q145" s="4">
        <v>0</v>
      </c>
      <c r="R145" s="4">
        <v>0</v>
      </c>
      <c r="S145" s="4">
        <v>0</v>
      </c>
      <c r="T145" s="2" t="s">
        <v>5845</v>
      </c>
      <c r="U145" s="2" t="s">
        <v>5846</v>
      </c>
      <c r="V145" s="2" t="s">
        <v>2</v>
      </c>
      <c r="W145" s="2" t="s">
        <v>2</v>
      </c>
    </row>
    <row r="146" spans="1:23" ht="24" customHeight="1" x14ac:dyDescent="0.3">
      <c r="A146" s="2" t="s">
        <v>719</v>
      </c>
      <c r="B146" s="11"/>
      <c r="C146" s="11"/>
      <c r="D146" s="2" t="s">
        <v>429</v>
      </c>
      <c r="E146" s="2" t="s">
        <v>5360</v>
      </c>
      <c r="F146" s="2" t="s">
        <v>5847</v>
      </c>
      <c r="G146" s="2" t="s">
        <v>2</v>
      </c>
      <c r="H146" s="2" t="s">
        <v>124</v>
      </c>
      <c r="I146" s="2" t="s">
        <v>28</v>
      </c>
      <c r="J146" s="2" t="s">
        <v>2</v>
      </c>
      <c r="K146" s="2" t="s">
        <v>5848</v>
      </c>
      <c r="L146" s="2" t="s">
        <v>3543</v>
      </c>
      <c r="M146" s="4">
        <v>780</v>
      </c>
      <c r="N146" s="4">
        <v>0</v>
      </c>
      <c r="O146" s="4">
        <f t="shared" si="2"/>
        <v>0</v>
      </c>
      <c r="P146" s="4">
        <v>0</v>
      </c>
      <c r="Q146" s="4">
        <v>0</v>
      </c>
      <c r="R146" s="4">
        <v>0</v>
      </c>
      <c r="S146" s="4">
        <v>0</v>
      </c>
      <c r="T146" s="2" t="s">
        <v>5849</v>
      </c>
      <c r="U146" s="2" t="s">
        <v>5850</v>
      </c>
      <c r="V146" s="2" t="s">
        <v>2</v>
      </c>
      <c r="W146" s="2" t="s">
        <v>2</v>
      </c>
    </row>
    <row r="147" spans="1:23" ht="24" customHeight="1" x14ac:dyDescent="0.3">
      <c r="A147" s="2" t="s">
        <v>720</v>
      </c>
      <c r="B147" s="11"/>
      <c r="C147" s="11"/>
      <c r="D147" s="2" t="s">
        <v>5851</v>
      </c>
      <c r="E147" s="2" t="s">
        <v>5852</v>
      </c>
      <c r="F147" s="2" t="s">
        <v>5853</v>
      </c>
      <c r="G147" s="2" t="s">
        <v>2</v>
      </c>
      <c r="H147" s="2" t="s">
        <v>124</v>
      </c>
      <c r="I147" s="2" t="s">
        <v>28</v>
      </c>
      <c r="J147" s="2" t="s">
        <v>2</v>
      </c>
      <c r="K147" s="2" t="s">
        <v>5854</v>
      </c>
      <c r="L147" s="2" t="s">
        <v>5855</v>
      </c>
      <c r="M147" s="4">
        <v>127.1</v>
      </c>
      <c r="N147" s="4">
        <v>12111.5</v>
      </c>
      <c r="O147" s="4">
        <f t="shared" ref="O147:O169" si="3">SUM(P147:S147)</f>
        <v>30</v>
      </c>
      <c r="P147" s="4">
        <v>30</v>
      </c>
      <c r="Q147" s="4">
        <v>0</v>
      </c>
      <c r="R147" s="4">
        <v>0</v>
      </c>
      <c r="S147" s="4">
        <v>0</v>
      </c>
      <c r="T147" s="2" t="s">
        <v>5856</v>
      </c>
      <c r="U147" s="2" t="s">
        <v>5857</v>
      </c>
      <c r="V147" s="2" t="s">
        <v>2</v>
      </c>
      <c r="W147" s="2" t="s">
        <v>2</v>
      </c>
    </row>
    <row r="148" spans="1:23" ht="24" customHeight="1" x14ac:dyDescent="0.3">
      <c r="A148" s="2" t="s">
        <v>721</v>
      </c>
      <c r="B148" s="11"/>
      <c r="C148" s="11"/>
      <c r="D148" s="2" t="s">
        <v>5858</v>
      </c>
      <c r="E148" s="2" t="s">
        <v>3663</v>
      </c>
      <c r="F148" s="2" t="s">
        <v>5859</v>
      </c>
      <c r="G148" s="2" t="s">
        <v>2</v>
      </c>
      <c r="H148" s="2" t="s">
        <v>124</v>
      </c>
      <c r="I148" s="2" t="s">
        <v>28</v>
      </c>
      <c r="J148" s="2" t="s">
        <v>2</v>
      </c>
      <c r="K148" s="2" t="s">
        <v>5860</v>
      </c>
      <c r="L148" s="2" t="s">
        <v>584</v>
      </c>
      <c r="M148" s="4">
        <v>8</v>
      </c>
      <c r="N148" s="4">
        <v>17.3</v>
      </c>
      <c r="O148" s="4">
        <f t="shared" si="3"/>
        <v>11.8</v>
      </c>
      <c r="P148" s="4">
        <v>11.8</v>
      </c>
      <c r="Q148" s="4">
        <v>0</v>
      </c>
      <c r="R148" s="4">
        <v>0</v>
      </c>
      <c r="S148" s="4">
        <v>0</v>
      </c>
      <c r="T148" s="2" t="s">
        <v>5861</v>
      </c>
      <c r="U148" s="2" t="s">
        <v>5862</v>
      </c>
      <c r="V148" s="2" t="s">
        <v>2</v>
      </c>
      <c r="W148" s="2" t="s">
        <v>2</v>
      </c>
    </row>
    <row r="149" spans="1:23" ht="24" customHeight="1" x14ac:dyDescent="0.3">
      <c r="A149" s="2" t="s">
        <v>723</v>
      </c>
      <c r="B149" s="11"/>
      <c r="C149" s="11"/>
      <c r="D149" s="2" t="s">
        <v>5863</v>
      </c>
      <c r="E149" s="2" t="s">
        <v>5864</v>
      </c>
      <c r="F149" s="2" t="s">
        <v>5865</v>
      </c>
      <c r="G149" s="2" t="s">
        <v>2</v>
      </c>
      <c r="H149" s="2" t="s">
        <v>124</v>
      </c>
      <c r="I149" s="2" t="s">
        <v>28</v>
      </c>
      <c r="J149" s="2" t="s">
        <v>2</v>
      </c>
      <c r="K149" s="2" t="s">
        <v>5866</v>
      </c>
      <c r="L149" s="2" t="s">
        <v>584</v>
      </c>
      <c r="M149" s="4">
        <v>3.4</v>
      </c>
      <c r="N149" s="4">
        <v>573.5</v>
      </c>
      <c r="O149" s="4">
        <f t="shared" si="3"/>
        <v>0</v>
      </c>
      <c r="P149" s="4">
        <v>0</v>
      </c>
      <c r="Q149" s="4">
        <v>0</v>
      </c>
      <c r="R149" s="4">
        <v>0</v>
      </c>
      <c r="S149" s="4">
        <v>0</v>
      </c>
      <c r="T149" s="2" t="s">
        <v>5867</v>
      </c>
      <c r="U149" s="2" t="s">
        <v>369</v>
      </c>
      <c r="V149" s="2" t="s">
        <v>2</v>
      </c>
      <c r="W149" s="2" t="s">
        <v>4432</v>
      </c>
    </row>
    <row r="150" spans="1:23" ht="24" customHeight="1" x14ac:dyDescent="0.3">
      <c r="A150" s="2" t="s">
        <v>725</v>
      </c>
      <c r="B150" s="11"/>
      <c r="C150" s="11"/>
      <c r="D150" s="2" t="s">
        <v>5356</v>
      </c>
      <c r="E150" s="2" t="s">
        <v>5868</v>
      </c>
      <c r="F150" s="2" t="s">
        <v>5869</v>
      </c>
      <c r="G150" s="2" t="s">
        <v>2</v>
      </c>
      <c r="H150" s="2" t="s">
        <v>124</v>
      </c>
      <c r="I150" s="2" t="s">
        <v>28</v>
      </c>
      <c r="J150" s="2" t="s">
        <v>2</v>
      </c>
      <c r="K150" s="2" t="s">
        <v>5870</v>
      </c>
      <c r="L150" s="2" t="s">
        <v>3541</v>
      </c>
      <c r="M150" s="4">
        <v>16</v>
      </c>
      <c r="N150" s="4">
        <v>500.6</v>
      </c>
      <c r="O150" s="4">
        <f t="shared" si="3"/>
        <v>0</v>
      </c>
      <c r="P150" s="4">
        <v>0</v>
      </c>
      <c r="Q150" s="4">
        <v>0</v>
      </c>
      <c r="R150" s="4">
        <v>0</v>
      </c>
      <c r="S150" s="4">
        <v>0</v>
      </c>
      <c r="T150" s="2" t="s">
        <v>5871</v>
      </c>
      <c r="U150" s="2" t="s">
        <v>894</v>
      </c>
      <c r="V150" s="2" t="s">
        <v>2</v>
      </c>
      <c r="W150" s="2" t="s">
        <v>2</v>
      </c>
    </row>
    <row r="151" spans="1:23" ht="24" customHeight="1" x14ac:dyDescent="0.3">
      <c r="A151" s="2" t="s">
        <v>727</v>
      </c>
      <c r="B151" s="11"/>
      <c r="C151" s="11"/>
      <c r="D151" s="2" t="s">
        <v>5872</v>
      </c>
      <c r="E151" s="2" t="s">
        <v>3669</v>
      </c>
      <c r="F151" s="2" t="s">
        <v>5873</v>
      </c>
      <c r="G151" s="2" t="s">
        <v>2</v>
      </c>
      <c r="H151" s="2" t="s">
        <v>124</v>
      </c>
      <c r="I151" s="2" t="s">
        <v>28</v>
      </c>
      <c r="J151" s="2" t="s">
        <v>2</v>
      </c>
      <c r="K151" s="2" t="s">
        <v>5874</v>
      </c>
      <c r="L151" s="2" t="s">
        <v>584</v>
      </c>
      <c r="M151" s="4">
        <v>2.4</v>
      </c>
      <c r="N151" s="4">
        <v>3.2</v>
      </c>
      <c r="O151" s="4">
        <f t="shared" si="3"/>
        <v>1.1000000000000001</v>
      </c>
      <c r="P151" s="4">
        <v>1.1000000000000001</v>
      </c>
      <c r="Q151" s="4">
        <v>0</v>
      </c>
      <c r="R151" s="4">
        <v>0</v>
      </c>
      <c r="S151" s="4">
        <v>0</v>
      </c>
      <c r="T151" s="2" t="s">
        <v>5875</v>
      </c>
      <c r="U151" s="2" t="s">
        <v>3552</v>
      </c>
      <c r="V151" s="2" t="s">
        <v>2</v>
      </c>
      <c r="W151" s="2" t="s">
        <v>2</v>
      </c>
    </row>
    <row r="152" spans="1:23" ht="24" customHeight="1" x14ac:dyDescent="0.3">
      <c r="A152" s="2" t="s">
        <v>728</v>
      </c>
      <c r="B152" s="11"/>
      <c r="C152" s="11"/>
      <c r="D152" s="2" t="s">
        <v>5876</v>
      </c>
      <c r="E152" s="2" t="s">
        <v>5877</v>
      </c>
      <c r="F152" s="2" t="s">
        <v>5878</v>
      </c>
      <c r="G152" s="2" t="s">
        <v>2</v>
      </c>
      <c r="H152" s="2" t="s">
        <v>124</v>
      </c>
      <c r="I152" s="2" t="s">
        <v>28</v>
      </c>
      <c r="J152" s="2" t="s">
        <v>2</v>
      </c>
      <c r="K152" s="2" t="s">
        <v>5879</v>
      </c>
      <c r="L152" s="2" t="s">
        <v>501</v>
      </c>
      <c r="M152" s="4">
        <v>11.6</v>
      </c>
      <c r="N152" s="4">
        <v>933</v>
      </c>
      <c r="O152" s="4">
        <f t="shared" si="3"/>
        <v>2</v>
      </c>
      <c r="P152" s="4">
        <v>0</v>
      </c>
      <c r="Q152" s="4">
        <v>0</v>
      </c>
      <c r="R152" s="4">
        <v>0</v>
      </c>
      <c r="S152" s="4">
        <v>2</v>
      </c>
      <c r="T152" s="2" t="s">
        <v>5880</v>
      </c>
      <c r="U152" s="2" t="s">
        <v>4564</v>
      </c>
      <c r="V152" s="2" t="s">
        <v>2</v>
      </c>
      <c r="W152" s="2" t="s">
        <v>2</v>
      </c>
    </row>
    <row r="153" spans="1:23" ht="24" customHeight="1" x14ac:dyDescent="0.3">
      <c r="A153" s="2" t="s">
        <v>729</v>
      </c>
      <c r="B153" s="11"/>
      <c r="C153" s="11"/>
      <c r="D153" s="2" t="s">
        <v>2949</v>
      </c>
      <c r="E153" s="2" t="s">
        <v>2950</v>
      </c>
      <c r="F153" s="2" t="s">
        <v>5282</v>
      </c>
      <c r="G153" s="2" t="s">
        <v>2</v>
      </c>
      <c r="H153" s="2" t="s">
        <v>124</v>
      </c>
      <c r="I153" s="2" t="s">
        <v>28</v>
      </c>
      <c r="J153" s="2" t="s">
        <v>2</v>
      </c>
      <c r="K153" s="2" t="s">
        <v>5283</v>
      </c>
      <c r="L153" s="2" t="s">
        <v>5284</v>
      </c>
      <c r="M153" s="4">
        <v>4</v>
      </c>
      <c r="N153" s="4">
        <v>115</v>
      </c>
      <c r="O153" s="4">
        <f t="shared" si="3"/>
        <v>0</v>
      </c>
      <c r="P153" s="4">
        <v>0</v>
      </c>
      <c r="Q153" s="4">
        <v>0</v>
      </c>
      <c r="R153" s="4">
        <v>0</v>
      </c>
      <c r="S153" s="4">
        <v>0</v>
      </c>
      <c r="T153" s="2" t="s">
        <v>2952</v>
      </c>
      <c r="U153" s="2" t="s">
        <v>3505</v>
      </c>
      <c r="V153" s="2" t="s">
        <v>2</v>
      </c>
      <c r="W153" s="2" t="s">
        <v>2</v>
      </c>
    </row>
    <row r="154" spans="1:23" ht="24" customHeight="1" x14ac:dyDescent="0.3">
      <c r="A154" s="2" t="s">
        <v>730</v>
      </c>
      <c r="B154" s="11"/>
      <c r="C154" s="11"/>
      <c r="D154" s="2" t="s">
        <v>5881</v>
      </c>
      <c r="E154" s="2" t="s">
        <v>5882</v>
      </c>
      <c r="F154" s="2" t="s">
        <v>5883</v>
      </c>
      <c r="G154" s="2" t="s">
        <v>2</v>
      </c>
      <c r="H154" s="2" t="s">
        <v>124</v>
      </c>
      <c r="I154" s="2" t="s">
        <v>28</v>
      </c>
      <c r="J154" s="2" t="s">
        <v>2</v>
      </c>
      <c r="K154" s="2" t="s">
        <v>5884</v>
      </c>
      <c r="L154" s="2" t="s">
        <v>583</v>
      </c>
      <c r="M154" s="4">
        <v>9</v>
      </c>
      <c r="N154" s="4">
        <v>0</v>
      </c>
      <c r="O154" s="4">
        <f t="shared" si="3"/>
        <v>0</v>
      </c>
      <c r="P154" s="4">
        <v>0</v>
      </c>
      <c r="Q154" s="4">
        <v>0</v>
      </c>
      <c r="R154" s="4">
        <v>0</v>
      </c>
      <c r="S154" s="4">
        <v>0</v>
      </c>
      <c r="T154" s="2" t="s">
        <v>5885</v>
      </c>
      <c r="U154" s="2" t="s">
        <v>126</v>
      </c>
      <c r="V154" s="2" t="s">
        <v>2</v>
      </c>
      <c r="W154" s="2" t="s">
        <v>2</v>
      </c>
    </row>
    <row r="155" spans="1:23" ht="24" customHeight="1" x14ac:dyDescent="0.3">
      <c r="A155" s="2" t="s">
        <v>731</v>
      </c>
      <c r="B155" s="11"/>
      <c r="C155" s="11"/>
      <c r="D155" s="2" t="s">
        <v>5291</v>
      </c>
      <c r="E155" s="2" t="s">
        <v>5292</v>
      </c>
      <c r="F155" s="2" t="s">
        <v>5293</v>
      </c>
      <c r="G155" s="2" t="s">
        <v>2</v>
      </c>
      <c r="H155" s="2" t="s">
        <v>124</v>
      </c>
      <c r="I155" s="2" t="s">
        <v>28</v>
      </c>
      <c r="J155" s="2" t="s">
        <v>2</v>
      </c>
      <c r="K155" s="2" t="s">
        <v>5886</v>
      </c>
      <c r="L155" s="2" t="s">
        <v>3545</v>
      </c>
      <c r="M155" s="4">
        <v>60</v>
      </c>
      <c r="N155" s="4">
        <v>0</v>
      </c>
      <c r="O155" s="4">
        <f t="shared" si="3"/>
        <v>0</v>
      </c>
      <c r="P155" s="4">
        <v>0</v>
      </c>
      <c r="Q155" s="4">
        <v>0</v>
      </c>
      <c r="R155" s="4">
        <v>0</v>
      </c>
      <c r="S155" s="4">
        <v>0</v>
      </c>
      <c r="T155" s="2" t="s">
        <v>2</v>
      </c>
      <c r="U155" s="2" t="s">
        <v>990</v>
      </c>
      <c r="V155" s="2" t="s">
        <v>2</v>
      </c>
      <c r="W155" s="2" t="s">
        <v>2</v>
      </c>
    </row>
    <row r="156" spans="1:23" ht="24" customHeight="1" x14ac:dyDescent="0.3">
      <c r="A156" s="2" t="s">
        <v>733</v>
      </c>
      <c r="B156" s="11"/>
      <c r="C156" s="11"/>
      <c r="D156" s="2" t="s">
        <v>5887</v>
      </c>
      <c r="E156" s="2" t="s">
        <v>3653</v>
      </c>
      <c r="F156" s="2" t="s">
        <v>5888</v>
      </c>
      <c r="G156" s="2" t="s">
        <v>2</v>
      </c>
      <c r="H156" s="2" t="s">
        <v>124</v>
      </c>
      <c r="I156" s="2" t="s">
        <v>28</v>
      </c>
      <c r="J156" s="2" t="s">
        <v>2</v>
      </c>
      <c r="K156" s="2" t="s">
        <v>5889</v>
      </c>
      <c r="L156" s="2" t="s">
        <v>3545</v>
      </c>
      <c r="M156" s="4">
        <v>150</v>
      </c>
      <c r="N156" s="4">
        <v>19228</v>
      </c>
      <c r="O156" s="4">
        <f t="shared" si="3"/>
        <v>1809.5</v>
      </c>
      <c r="P156" s="4">
        <v>0</v>
      </c>
      <c r="Q156" s="4">
        <v>0</v>
      </c>
      <c r="R156" s="4">
        <v>0</v>
      </c>
      <c r="S156" s="4">
        <v>1809.5</v>
      </c>
      <c r="T156" s="2" t="s">
        <v>5309</v>
      </c>
      <c r="U156" s="2" t="s">
        <v>4926</v>
      </c>
      <c r="V156" s="2" t="s">
        <v>2</v>
      </c>
      <c r="W156" s="2" t="s">
        <v>2</v>
      </c>
    </row>
    <row r="157" spans="1:23" ht="24" customHeight="1" x14ac:dyDescent="0.3">
      <c r="A157" s="2" t="s">
        <v>734</v>
      </c>
      <c r="B157" s="11"/>
      <c r="C157" s="11"/>
      <c r="D157" s="2" t="s">
        <v>3172</v>
      </c>
      <c r="E157" s="2" t="s">
        <v>3173</v>
      </c>
      <c r="F157" s="2" t="s">
        <v>3174</v>
      </c>
      <c r="G157" s="2" t="s">
        <v>2</v>
      </c>
      <c r="H157" s="2" t="s">
        <v>124</v>
      </c>
      <c r="I157" s="2" t="s">
        <v>28</v>
      </c>
      <c r="J157" s="2" t="s">
        <v>2</v>
      </c>
      <c r="K157" s="2" t="s">
        <v>5890</v>
      </c>
      <c r="L157" s="2" t="s">
        <v>584</v>
      </c>
      <c r="M157" s="4">
        <v>6.8</v>
      </c>
      <c r="N157" s="4">
        <v>42.3</v>
      </c>
      <c r="O157" s="4">
        <f t="shared" si="3"/>
        <v>0</v>
      </c>
      <c r="P157" s="4">
        <v>0</v>
      </c>
      <c r="Q157" s="4">
        <v>0</v>
      </c>
      <c r="R157" s="4">
        <v>0</v>
      </c>
      <c r="S157" s="4">
        <v>0</v>
      </c>
      <c r="T157" s="2" t="s">
        <v>3175</v>
      </c>
      <c r="U157" s="2" t="s">
        <v>3638</v>
      </c>
      <c r="V157" s="2" t="s">
        <v>2</v>
      </c>
      <c r="W157" s="2" t="s">
        <v>2</v>
      </c>
    </row>
    <row r="158" spans="1:23" ht="24" customHeight="1" x14ac:dyDescent="0.3">
      <c r="A158" s="2" t="s">
        <v>735</v>
      </c>
      <c r="B158" s="11"/>
      <c r="C158" s="11"/>
      <c r="D158" s="2" t="s">
        <v>5891</v>
      </c>
      <c r="E158" s="2" t="s">
        <v>5892</v>
      </c>
      <c r="F158" s="2" t="s">
        <v>5893</v>
      </c>
      <c r="G158" s="2" t="s">
        <v>2</v>
      </c>
      <c r="H158" s="2" t="s">
        <v>124</v>
      </c>
      <c r="I158" s="2" t="s">
        <v>28</v>
      </c>
      <c r="J158" s="2" t="s">
        <v>2</v>
      </c>
      <c r="K158" s="2" t="s">
        <v>5894</v>
      </c>
      <c r="L158" s="2" t="s">
        <v>3543</v>
      </c>
      <c r="M158" s="4">
        <v>88</v>
      </c>
      <c r="N158" s="4">
        <v>8630</v>
      </c>
      <c r="O158" s="4">
        <f t="shared" si="3"/>
        <v>23</v>
      </c>
      <c r="P158" s="4">
        <v>23</v>
      </c>
      <c r="Q158" s="4">
        <v>0</v>
      </c>
      <c r="R158" s="4">
        <v>0</v>
      </c>
      <c r="S158" s="4">
        <v>0</v>
      </c>
      <c r="T158" s="2" t="s">
        <v>5895</v>
      </c>
      <c r="U158" s="2" t="s">
        <v>2337</v>
      </c>
      <c r="V158" s="2" t="s">
        <v>2</v>
      </c>
      <c r="W158" s="2" t="s">
        <v>2</v>
      </c>
    </row>
    <row r="159" spans="1:23" ht="24" customHeight="1" x14ac:dyDescent="0.3">
      <c r="A159" s="2" t="s">
        <v>736</v>
      </c>
      <c r="B159" s="11"/>
      <c r="C159" s="11"/>
      <c r="D159" s="2" t="s">
        <v>3183</v>
      </c>
      <c r="E159" s="2" t="s">
        <v>4535</v>
      </c>
      <c r="F159" s="2" t="s">
        <v>5339</v>
      </c>
      <c r="G159" s="2" t="s">
        <v>2</v>
      </c>
      <c r="H159" s="2" t="s">
        <v>124</v>
      </c>
      <c r="I159" s="2" t="s">
        <v>28</v>
      </c>
      <c r="J159" s="2" t="s">
        <v>2</v>
      </c>
      <c r="K159" s="2" t="s">
        <v>5896</v>
      </c>
      <c r="L159" s="2" t="s">
        <v>584</v>
      </c>
      <c r="M159" s="4">
        <v>20</v>
      </c>
      <c r="N159" s="4">
        <v>0</v>
      </c>
      <c r="O159" s="4">
        <f t="shared" si="3"/>
        <v>0</v>
      </c>
      <c r="P159" s="4">
        <v>0</v>
      </c>
      <c r="Q159" s="4">
        <v>0</v>
      </c>
      <c r="R159" s="4">
        <v>0</v>
      </c>
      <c r="S159" s="4">
        <v>0</v>
      </c>
      <c r="T159" s="2" t="s">
        <v>3186</v>
      </c>
      <c r="U159" s="2" t="s">
        <v>3282</v>
      </c>
      <c r="V159" s="2" t="s">
        <v>2</v>
      </c>
      <c r="W159" s="2" t="s">
        <v>2</v>
      </c>
    </row>
    <row r="160" spans="1:23" ht="24" customHeight="1" x14ac:dyDescent="0.3">
      <c r="A160" s="2" t="s">
        <v>737</v>
      </c>
      <c r="B160" s="11"/>
      <c r="C160" s="11"/>
      <c r="D160" s="2" t="s">
        <v>5897</v>
      </c>
      <c r="E160" s="2" t="s">
        <v>5898</v>
      </c>
      <c r="F160" s="2" t="s">
        <v>5899</v>
      </c>
      <c r="G160" s="2" t="s">
        <v>2</v>
      </c>
      <c r="H160" s="2" t="s">
        <v>124</v>
      </c>
      <c r="I160" s="2" t="s">
        <v>28</v>
      </c>
      <c r="J160" s="2" t="s">
        <v>2</v>
      </c>
      <c r="K160" s="2" t="s">
        <v>5900</v>
      </c>
      <c r="L160" s="2" t="s">
        <v>584</v>
      </c>
      <c r="M160" s="4">
        <v>10</v>
      </c>
      <c r="N160" s="4">
        <v>0</v>
      </c>
      <c r="O160" s="4">
        <f t="shared" si="3"/>
        <v>0</v>
      </c>
      <c r="P160" s="4">
        <v>0</v>
      </c>
      <c r="Q160" s="4">
        <v>0</v>
      </c>
      <c r="R160" s="4">
        <v>0</v>
      </c>
      <c r="S160" s="4">
        <v>0</v>
      </c>
      <c r="T160" s="2" t="s">
        <v>5901</v>
      </c>
      <c r="U160" s="2" t="s">
        <v>873</v>
      </c>
      <c r="V160" s="2" t="s">
        <v>2</v>
      </c>
      <c r="W160" s="2" t="s">
        <v>2</v>
      </c>
    </row>
    <row r="161" spans="1:23" ht="24" customHeight="1" x14ac:dyDescent="0.3">
      <c r="A161" s="2" t="s">
        <v>738</v>
      </c>
      <c r="B161" s="11"/>
      <c r="C161" s="11"/>
      <c r="D161" s="2" t="s">
        <v>5902</v>
      </c>
      <c r="E161" s="2" t="s">
        <v>1809</v>
      </c>
      <c r="F161" s="2" t="s">
        <v>5903</v>
      </c>
      <c r="G161" s="2" t="s">
        <v>2</v>
      </c>
      <c r="H161" s="2" t="s">
        <v>124</v>
      </c>
      <c r="I161" s="2" t="s">
        <v>28</v>
      </c>
      <c r="J161" s="2" t="s">
        <v>2</v>
      </c>
      <c r="K161" s="2" t="s">
        <v>5904</v>
      </c>
      <c r="L161" s="2" t="s">
        <v>551</v>
      </c>
      <c r="M161" s="4">
        <v>150</v>
      </c>
      <c r="N161" s="4">
        <v>6094.4</v>
      </c>
      <c r="O161" s="4">
        <f t="shared" si="3"/>
        <v>399</v>
      </c>
      <c r="P161" s="4">
        <v>0</v>
      </c>
      <c r="Q161" s="4">
        <v>0</v>
      </c>
      <c r="R161" s="4">
        <v>0</v>
      </c>
      <c r="S161" s="4">
        <v>399</v>
      </c>
      <c r="T161" s="2" t="s">
        <v>5905</v>
      </c>
      <c r="U161" s="2" t="s">
        <v>3459</v>
      </c>
      <c r="V161" s="2" t="s">
        <v>2</v>
      </c>
      <c r="W161" s="2" t="s">
        <v>2</v>
      </c>
    </row>
    <row r="162" spans="1:23" ht="24" customHeight="1" x14ac:dyDescent="0.3">
      <c r="A162" s="2" t="s">
        <v>739</v>
      </c>
      <c r="B162" s="11"/>
      <c r="C162" s="11" t="s">
        <v>65</v>
      </c>
      <c r="D162" s="2" t="s">
        <v>5906</v>
      </c>
      <c r="E162" s="2" t="s">
        <v>5907</v>
      </c>
      <c r="F162" s="2" t="s">
        <v>5908</v>
      </c>
      <c r="G162" s="2" t="s">
        <v>5909</v>
      </c>
      <c r="H162" s="2" t="s">
        <v>5909</v>
      </c>
      <c r="I162" s="2" t="s">
        <v>5909</v>
      </c>
      <c r="J162" s="2" t="s">
        <v>2</v>
      </c>
      <c r="K162" s="2" t="s">
        <v>4587</v>
      </c>
      <c r="L162" s="2" t="s">
        <v>582</v>
      </c>
      <c r="M162" s="4">
        <v>20</v>
      </c>
      <c r="N162" s="4">
        <v>6225.5</v>
      </c>
      <c r="O162" s="4">
        <f t="shared" si="3"/>
        <v>0</v>
      </c>
      <c r="P162" s="4">
        <v>0</v>
      </c>
      <c r="Q162" s="4">
        <v>0</v>
      </c>
      <c r="R162" s="4">
        <v>0</v>
      </c>
      <c r="S162" s="4">
        <v>0</v>
      </c>
      <c r="T162" s="2" t="s">
        <v>5910</v>
      </c>
      <c r="U162" s="2" t="s">
        <v>5911</v>
      </c>
      <c r="V162" s="2" t="s">
        <v>2</v>
      </c>
      <c r="W162" s="2" t="s">
        <v>2</v>
      </c>
    </row>
    <row r="163" spans="1:23" ht="24" customHeight="1" x14ac:dyDescent="0.3">
      <c r="A163" s="2" t="s">
        <v>740</v>
      </c>
      <c r="B163" s="11"/>
      <c r="C163" s="11"/>
      <c r="D163" s="2" t="s">
        <v>5912</v>
      </c>
      <c r="E163" s="2" t="s">
        <v>4925</v>
      </c>
      <c r="F163" s="2" t="s">
        <v>5913</v>
      </c>
      <c r="G163" s="2" t="s">
        <v>5914</v>
      </c>
      <c r="H163" s="2" t="s">
        <v>5914</v>
      </c>
      <c r="I163" s="2" t="s">
        <v>5914</v>
      </c>
      <c r="J163" s="2" t="s">
        <v>2</v>
      </c>
      <c r="K163" s="2" t="s">
        <v>4596</v>
      </c>
      <c r="L163" s="2" t="s">
        <v>5915</v>
      </c>
      <c r="M163" s="4">
        <v>152</v>
      </c>
      <c r="N163" s="4">
        <v>429.2</v>
      </c>
      <c r="O163" s="4">
        <f t="shared" si="3"/>
        <v>0</v>
      </c>
      <c r="P163" s="4">
        <v>0</v>
      </c>
      <c r="Q163" s="4">
        <v>0</v>
      </c>
      <c r="R163" s="4">
        <v>0</v>
      </c>
      <c r="S163" s="4">
        <v>0</v>
      </c>
      <c r="T163" s="2" t="s">
        <v>5916</v>
      </c>
      <c r="U163" s="2" t="s">
        <v>4927</v>
      </c>
      <c r="V163" s="2" t="s">
        <v>2</v>
      </c>
      <c r="W163" s="2" t="s">
        <v>2</v>
      </c>
    </row>
    <row r="164" spans="1:23" ht="24" customHeight="1" x14ac:dyDescent="0.3">
      <c r="A164" s="2" t="s">
        <v>377</v>
      </c>
      <c r="B164" s="11"/>
      <c r="C164" s="11"/>
      <c r="D164" s="2" t="s">
        <v>5917</v>
      </c>
      <c r="E164" s="2" t="s">
        <v>5918</v>
      </c>
      <c r="F164" s="2" t="s">
        <v>5919</v>
      </c>
      <c r="G164" s="2" t="s">
        <v>5920</v>
      </c>
      <c r="H164" s="2" t="s">
        <v>5920</v>
      </c>
      <c r="I164" s="2" t="s">
        <v>5920</v>
      </c>
      <c r="J164" s="2" t="s">
        <v>2</v>
      </c>
      <c r="K164" s="2" t="s">
        <v>4587</v>
      </c>
      <c r="L164" s="2" t="s">
        <v>582</v>
      </c>
      <c r="M164" s="4">
        <v>95</v>
      </c>
      <c r="N164" s="4">
        <v>17095.400000000001</v>
      </c>
      <c r="O164" s="4">
        <f t="shared" si="3"/>
        <v>13684.4</v>
      </c>
      <c r="P164" s="4">
        <v>12356</v>
      </c>
      <c r="Q164" s="4">
        <v>1297.5999999999999</v>
      </c>
      <c r="R164" s="4">
        <v>30.8</v>
      </c>
      <c r="S164" s="4">
        <v>0</v>
      </c>
      <c r="T164" s="2" t="s">
        <v>5921</v>
      </c>
      <c r="U164" s="2" t="s">
        <v>3573</v>
      </c>
      <c r="V164" s="2" t="s">
        <v>2</v>
      </c>
      <c r="W164" s="2" t="s">
        <v>2</v>
      </c>
    </row>
    <row r="165" spans="1:23" ht="24" customHeight="1" x14ac:dyDescent="0.3">
      <c r="A165" s="2" t="s">
        <v>743</v>
      </c>
      <c r="B165" s="11"/>
      <c r="C165" s="11"/>
      <c r="D165" s="2" t="s">
        <v>5922</v>
      </c>
      <c r="E165" s="2" t="s">
        <v>5923</v>
      </c>
      <c r="F165" s="2" t="s">
        <v>5924</v>
      </c>
      <c r="G165" s="2" t="s">
        <v>5925</v>
      </c>
      <c r="H165" s="2" t="s">
        <v>5925</v>
      </c>
      <c r="I165" s="2" t="s">
        <v>5925</v>
      </c>
      <c r="J165" s="2" t="s">
        <v>2</v>
      </c>
      <c r="K165" s="2" t="s">
        <v>530</v>
      </c>
      <c r="L165" s="2" t="s">
        <v>3543</v>
      </c>
      <c r="M165" s="4">
        <v>1</v>
      </c>
      <c r="N165" s="4">
        <v>0</v>
      </c>
      <c r="O165" s="4">
        <f t="shared" si="3"/>
        <v>0</v>
      </c>
      <c r="P165" s="4">
        <v>0</v>
      </c>
      <c r="Q165" s="4">
        <v>0</v>
      </c>
      <c r="R165" s="4">
        <v>0</v>
      </c>
      <c r="S165" s="4">
        <v>0</v>
      </c>
      <c r="T165" s="2" t="s">
        <v>5926</v>
      </c>
      <c r="U165" s="2" t="s">
        <v>3509</v>
      </c>
      <c r="V165" s="2" t="s">
        <v>2</v>
      </c>
      <c r="W165" s="2" t="s">
        <v>2</v>
      </c>
    </row>
    <row r="166" spans="1:23" ht="24" customHeight="1" x14ac:dyDescent="0.3">
      <c r="A166" s="2" t="s">
        <v>744</v>
      </c>
      <c r="B166" s="11"/>
      <c r="C166" s="11"/>
      <c r="D166" s="2" t="s">
        <v>5927</v>
      </c>
      <c r="E166" s="2" t="s">
        <v>4082</v>
      </c>
      <c r="F166" s="2" t="s">
        <v>5928</v>
      </c>
      <c r="G166" s="2" t="s">
        <v>5925</v>
      </c>
      <c r="H166" s="2" t="s">
        <v>5925</v>
      </c>
      <c r="I166" s="2" t="s">
        <v>5925</v>
      </c>
      <c r="J166" s="2" t="s">
        <v>2</v>
      </c>
      <c r="K166" s="2" t="s">
        <v>565</v>
      </c>
      <c r="L166" s="2" t="s">
        <v>3543</v>
      </c>
      <c r="M166" s="4">
        <v>2</v>
      </c>
      <c r="N166" s="4">
        <v>30.7</v>
      </c>
      <c r="O166" s="4">
        <f t="shared" si="3"/>
        <v>2</v>
      </c>
      <c r="P166" s="4">
        <v>0</v>
      </c>
      <c r="Q166" s="4">
        <v>2</v>
      </c>
      <c r="R166" s="4">
        <v>0</v>
      </c>
      <c r="S166" s="4">
        <v>0</v>
      </c>
      <c r="T166" s="2" t="s">
        <v>5929</v>
      </c>
      <c r="U166" s="2" t="s">
        <v>949</v>
      </c>
      <c r="V166" s="2" t="s">
        <v>2</v>
      </c>
      <c r="W166" s="2" t="s">
        <v>2</v>
      </c>
    </row>
    <row r="167" spans="1:23" ht="24" customHeight="1" x14ac:dyDescent="0.3">
      <c r="A167" s="2" t="s">
        <v>746</v>
      </c>
      <c r="B167" s="11"/>
      <c r="C167" s="11"/>
      <c r="D167" s="2" t="s">
        <v>5930</v>
      </c>
      <c r="E167" s="2" t="s">
        <v>5931</v>
      </c>
      <c r="F167" s="2" t="s">
        <v>5932</v>
      </c>
      <c r="G167" s="2" t="s">
        <v>5933</v>
      </c>
      <c r="H167" s="2" t="s">
        <v>5933</v>
      </c>
      <c r="I167" s="2" t="s">
        <v>5933</v>
      </c>
      <c r="J167" s="2" t="s">
        <v>2</v>
      </c>
      <c r="K167" s="2" t="s">
        <v>4587</v>
      </c>
      <c r="L167" s="2" t="s">
        <v>582</v>
      </c>
      <c r="M167" s="4">
        <v>70</v>
      </c>
      <c r="N167" s="4">
        <v>23401.7</v>
      </c>
      <c r="O167" s="4">
        <f t="shared" si="3"/>
        <v>22553.7</v>
      </c>
      <c r="P167" s="4">
        <v>22215</v>
      </c>
      <c r="Q167" s="4">
        <v>338.7</v>
      </c>
      <c r="R167" s="4">
        <v>0</v>
      </c>
      <c r="S167" s="4">
        <v>0</v>
      </c>
      <c r="T167" s="2" t="s">
        <v>5934</v>
      </c>
      <c r="U167" s="2" t="s">
        <v>3409</v>
      </c>
      <c r="V167" s="2" t="s">
        <v>2</v>
      </c>
      <c r="W167" s="2" t="s">
        <v>2</v>
      </c>
    </row>
    <row r="168" spans="1:23" ht="24" customHeight="1" x14ac:dyDescent="0.3">
      <c r="A168" s="2" t="s">
        <v>747</v>
      </c>
      <c r="B168" s="11"/>
      <c r="C168" s="11"/>
      <c r="D168" s="2" t="s">
        <v>5935</v>
      </c>
      <c r="E168" s="2" t="s">
        <v>4588</v>
      </c>
      <c r="F168" s="2" t="s">
        <v>5936</v>
      </c>
      <c r="G168" s="2" t="s">
        <v>495</v>
      </c>
      <c r="H168" s="2" t="s">
        <v>495</v>
      </c>
      <c r="I168" s="2" t="s">
        <v>495</v>
      </c>
      <c r="J168" s="2" t="s">
        <v>2</v>
      </c>
      <c r="K168" s="2" t="s">
        <v>4595</v>
      </c>
      <c r="L168" s="2" t="s">
        <v>3543</v>
      </c>
      <c r="M168" s="4">
        <v>32</v>
      </c>
      <c r="N168" s="4">
        <v>46.2</v>
      </c>
      <c r="O168" s="4">
        <f t="shared" si="3"/>
        <v>1.3</v>
      </c>
      <c r="P168" s="4">
        <v>1.3</v>
      </c>
      <c r="Q168" s="4">
        <v>0</v>
      </c>
      <c r="R168" s="4">
        <v>0</v>
      </c>
      <c r="S168" s="4">
        <v>0</v>
      </c>
      <c r="T168" s="2" t="s">
        <v>5937</v>
      </c>
      <c r="U168" s="2" t="s">
        <v>3409</v>
      </c>
      <c r="V168" s="2" t="s">
        <v>2</v>
      </c>
      <c r="W168" s="2" t="s">
        <v>2</v>
      </c>
    </row>
    <row r="169" spans="1:23" ht="24" customHeight="1" x14ac:dyDescent="0.3">
      <c r="A169" s="2" t="s">
        <v>748</v>
      </c>
      <c r="B169" s="11"/>
      <c r="C169" s="11" t="s">
        <v>68</v>
      </c>
      <c r="D169" s="2" t="s">
        <v>5938</v>
      </c>
      <c r="E169" s="2" t="s">
        <v>5939</v>
      </c>
      <c r="F169" s="2" t="s">
        <v>5940</v>
      </c>
      <c r="G169" s="2" t="s">
        <v>2</v>
      </c>
      <c r="H169" s="2" t="s">
        <v>2</v>
      </c>
      <c r="I169" s="2" t="s">
        <v>5941</v>
      </c>
      <c r="J169" s="2" t="s">
        <v>2</v>
      </c>
      <c r="K169" s="2" t="s">
        <v>5942</v>
      </c>
      <c r="L169" s="2" t="s">
        <v>3545</v>
      </c>
      <c r="M169" s="4">
        <v>1792</v>
      </c>
      <c r="N169" s="4">
        <v>281807.2</v>
      </c>
      <c r="O169" s="4">
        <f t="shared" si="3"/>
        <v>0</v>
      </c>
      <c r="P169" s="4">
        <v>0</v>
      </c>
      <c r="Q169" s="4">
        <v>0</v>
      </c>
      <c r="R169" s="4">
        <v>0</v>
      </c>
      <c r="S169" s="4">
        <v>0</v>
      </c>
      <c r="T169" s="2" t="s">
        <v>5943</v>
      </c>
      <c r="U169" s="2" t="s">
        <v>3613</v>
      </c>
      <c r="V169" s="2" t="s">
        <v>2</v>
      </c>
      <c r="W169" s="2" t="s">
        <v>2</v>
      </c>
    </row>
  </sheetData>
  <autoFilter ref="A5:W169" xr:uid="{00000000-0009-0000-0000-000012000000}"/>
  <mergeCells count="25">
    <mergeCell ref="B6:B169"/>
    <mergeCell ref="C6"/>
    <mergeCell ref="C7:C13"/>
    <mergeCell ref="C14:C17"/>
    <mergeCell ref="C18:C20"/>
    <mergeCell ref="C21:C85"/>
    <mergeCell ref="C86:C161"/>
    <mergeCell ref="C162:C168"/>
    <mergeCell ref="C169"/>
    <mergeCell ref="A1:W1"/>
    <mergeCell ref="A2:W2"/>
    <mergeCell ref="A4:A5"/>
    <mergeCell ref="B4:B5"/>
    <mergeCell ref="C4:C5"/>
    <mergeCell ref="D4:D5"/>
    <mergeCell ref="E4:E5"/>
    <mergeCell ref="F4:F5"/>
    <mergeCell ref="G4:J4"/>
    <mergeCell ref="K4:K5"/>
    <mergeCell ref="L4:L5"/>
    <mergeCell ref="O4:S4"/>
    <mergeCell ref="T4:T5"/>
    <mergeCell ref="U4:U5"/>
    <mergeCell ref="V4:V5"/>
    <mergeCell ref="W4:W5"/>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1-가. 공공소각</vt:lpstr>
      <vt:lpstr>1-나. 공공기타</vt:lpstr>
      <vt:lpstr>1-다. 공공매립</vt:lpstr>
      <vt:lpstr>2-가. 자가중간처분(소각)</vt:lpstr>
      <vt:lpstr>2-나. 자가중간처분(기타)</vt:lpstr>
      <vt:lpstr>2-다. 자가재활용처리시설</vt:lpstr>
      <vt:lpstr>2-라. 자가매립</vt:lpstr>
      <vt:lpstr>3-가. 수집운반(생활, 사업장일반)</vt:lpstr>
      <vt:lpstr>3-나. 수집운반(건설)</vt:lpstr>
      <vt:lpstr>4-가. 중간처분(소각)</vt:lpstr>
      <vt:lpstr>4-나. 중간처분(기타)</vt:lpstr>
      <vt:lpstr>4-다. 중간처리(건설)</vt:lpstr>
      <vt:lpstr>5. 최종처분</vt:lpstr>
      <vt:lpstr>6. 종합처분</vt:lpstr>
      <vt:lpstr>7-가. 폐기물처리(재활용) 신고</vt:lpstr>
      <vt:lpstr>7-나. 폐기물처리(수집운반) 신고</vt:lpstr>
      <vt:lpstr>8-가. 재활용처리(중간)</vt:lpstr>
      <vt:lpstr>8-나. 재활용처리(최종)</vt:lpstr>
      <vt:lpstr>8-다. 재활용처리(종합)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2025-12-18T06:17:50Z</dcterms:created>
  <dcterms:modified xsi:type="dcterms:W3CDTF">2026-01-06T04:42:24Z</dcterms:modified>
</cp:coreProperties>
</file>